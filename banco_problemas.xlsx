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as" sheetId="1" state="visible" r:id="rId3"/>
    <sheet name="Resumen" sheetId="2" state="visible" r:id="rId4"/>
    <sheet name="Instrucciones" sheetId="3" state="visible" r:id="rId5"/>
  </sheets>
  <definedNames>
    <definedName function="false" hidden="true" localSheetId="0" name="_xlnm._FilterDatabase" vbProcedure="false">Problemas!$A$1:$O$145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<sst xmlns="http://schemas.openxmlformats.org/spreadsheetml/2006/main" count="1471" uniqueCount="792">
  <si>
    <t xml:space="preserve">ID</t>
  </si>
  <si>
    <t xml:space="preserve">Mundo</t>
  </si>
  <si>
    <t xml:space="preserve">Nivel</t>
  </si>
  <si>
    <t xml:space="preserve">Edad sugerida</t>
  </si>
  <si>
    <t xml:space="preserve">Tipo de modelo</t>
  </si>
  <si>
    <t xml:space="preserve">Enunciado</t>
  </si>
  <si>
    <t xml:space="preserve">Dato 1</t>
  </si>
  <si>
    <t xml:space="preserve">Dato 2</t>
  </si>
  <si>
    <t xml:space="preserve">Dato 3</t>
  </si>
  <si>
    <t xml:space="preserve">Respuesta</t>
  </si>
  <si>
    <t xml:space="preserve">Operación</t>
  </si>
  <si>
    <t xml:space="preserve">Modelo de barras esperado</t>
  </si>
  <si>
    <t xml:space="preserve">Pista 1</t>
  </si>
  <si>
    <t xml:space="preserve">Pista 2</t>
  </si>
  <si>
    <t xml:space="preserve">Error típico</t>
  </si>
  <si>
    <t xml:space="preserve">M1-N1-01</t>
  </si>
  <si>
    <t xml:space="preserve">Suma y resta</t>
  </si>
  <si>
    <t xml:space="preserve">6</t>
  </si>
  <si>
    <t xml:space="preserve">Parte-todo</t>
  </si>
  <si>
    <t xml:space="preserve">Leo tiene 10 globos y recibe 2 más. ¿Cuántos tiene ahora?</t>
  </si>
  <si>
    <t xml:space="preserve">10 + 2</t>
  </si>
  <si>
    <t xml:space="preserve">Una barra con dos partes (10 y 2) y una llave con '?' sobre el total.</t>
  </si>
  <si>
    <t xml:space="preserve">¿Qué sabes: las partes o el total?</t>
  </si>
  <si>
    <t xml:space="preserve">Dibuja una parte de 10 y otra de 2; busca el total.</t>
  </si>
  <si>
    <t xml:space="preserve">Restar 10 - 2 en lugar de sumar.</t>
  </si>
  <si>
    <t xml:space="preserve">M1-N1-02</t>
  </si>
  <si>
    <t xml:space="preserve">Pedro tiene 10 caramelos y recibe 5 más. ¿Cuántos tiene ahora?</t>
  </si>
  <si>
    <t xml:space="preserve">10 + 5</t>
  </si>
  <si>
    <t xml:space="preserve">Una barra con dos partes (10 y 5) y una llave con '?' sobre el total.</t>
  </si>
  <si>
    <t xml:space="preserve">Dibuja una parte de 10 y otra de 5; busca el total.</t>
  </si>
  <si>
    <t xml:space="preserve">Restar 10 - 5 en lugar de sumar.</t>
  </si>
  <si>
    <t xml:space="preserve">M1-N1-03</t>
  </si>
  <si>
    <t xml:space="preserve">Hugo tiene 12 caramelos y recibe 5 más. ¿Cuántos tiene ahora?</t>
  </si>
  <si>
    <t xml:space="preserve">12 + 5</t>
  </si>
  <si>
    <t xml:space="preserve">Una barra con dos partes (12 y 5) y una llave con '?' sobre el total.</t>
  </si>
  <si>
    <t xml:space="preserve">Dibuja una parte de 12 y otra de 5; busca el total.</t>
  </si>
  <si>
    <t xml:space="preserve">Restar 12 - 5 en lugar de sumar.</t>
  </si>
  <si>
    <t xml:space="preserve">M1-N1-04</t>
  </si>
  <si>
    <t xml:space="preserve">Hugo tiene 7 libros y regala 2. ¿Cuántos le quedan?</t>
  </si>
  <si>
    <t xml:space="preserve">7 - 2</t>
  </si>
  <si>
    <t xml:space="preserve">Barra total de 7, con una parte de 2 y otra parte '?'.</t>
  </si>
  <si>
    <t xml:space="preserve">¿Qué es lo que se conoce: el total o una parte?</t>
  </si>
  <si>
    <t xml:space="preserve">La barra entera es 7. Quita la parte de 2.</t>
  </si>
  <si>
    <t xml:space="preserve">Sumar los dos números.</t>
  </si>
  <si>
    <t xml:space="preserve">M1-N1-05</t>
  </si>
  <si>
    <t xml:space="preserve">Hugo tiene 6 cromos y regala 4. ¿Cuántos le quedan?</t>
  </si>
  <si>
    <t xml:space="preserve">6 - 4</t>
  </si>
  <si>
    <t xml:space="preserve">Barra total de 6, con una parte de 4 y otra parte '?'.</t>
  </si>
  <si>
    <t xml:space="preserve">La barra entera es 6. Quita la parte de 4.</t>
  </si>
  <si>
    <t xml:space="preserve">M1-N1-06</t>
  </si>
  <si>
    <t xml:space="preserve">Leo tiene 6 libros y regala 5. ¿Cuántos le quedan?</t>
  </si>
  <si>
    <t xml:space="preserve">6 - 5</t>
  </si>
  <si>
    <t xml:space="preserve">Barra total de 6, con una parte de 5 y otra parte '?'.</t>
  </si>
  <si>
    <t xml:space="preserve">La barra entera es 6. Quita la parte de 5.</t>
  </si>
  <si>
    <t xml:space="preserve">M1-N1-07</t>
  </si>
  <si>
    <t xml:space="preserve">En una caja hay 7 globos; 5 son rojos y el resto azules. ¿Cuántos son azules?</t>
  </si>
  <si>
    <t xml:space="preserve">7 - 5</t>
  </si>
  <si>
    <t xml:space="preserve">Barra total de 7; parte roja de 5; parte azul '?'.</t>
  </si>
  <si>
    <t xml:space="preserve">¿Cuál es el total y cuál es una de las partes?</t>
  </si>
  <si>
    <t xml:space="preserve">El resto es la parte que falta de la barra.</t>
  </si>
  <si>
    <t xml:space="preserve">Responder con el número de rojos.</t>
  </si>
  <si>
    <t xml:space="preserve">M1-N1-08</t>
  </si>
  <si>
    <t xml:space="preserve">En una caja hay 8 globos; 5 son rojos y el resto azules. ¿Cuántos son azules?</t>
  </si>
  <si>
    <t xml:space="preserve">8 - 5</t>
  </si>
  <si>
    <t xml:space="preserve">Barra total de 8; parte roja de 5; parte azul '?'.</t>
  </si>
  <si>
    <t xml:space="preserve">M1-N1-09</t>
  </si>
  <si>
    <t xml:space="preserve">En una caja hay 11 caramelos; 2 son rojos y el resto azules. ¿Cuántos son azules?</t>
  </si>
  <si>
    <t xml:space="preserve">11 - 2</t>
  </si>
  <si>
    <t xml:space="preserve">Barra total de 11; parte roja de 2; parte azul '?'.</t>
  </si>
  <si>
    <t xml:space="preserve">M1-N1-10</t>
  </si>
  <si>
    <t xml:space="preserve">Iker tenía algunos globos. Ganó 4 y ahora tiene 6. ¿Cuántos tenía al principio?</t>
  </si>
  <si>
    <t xml:space="preserve">Barra total de 6; parte ganada de 4; parte inicial '?'.</t>
  </si>
  <si>
    <t xml:space="preserve">¿Qué número es el total final?</t>
  </si>
  <si>
    <t xml:space="preserve">Lo que tenía al principio es una parte de la barra final.</t>
  </si>
  <si>
    <t xml:space="preserve">Sumar porque 'ganó'.</t>
  </si>
  <si>
    <t xml:space="preserve">M1-N1-11</t>
  </si>
  <si>
    <t xml:space="preserve">Sofía tenía algunos libros. Ganó 4 y ahora tiene 7. ¿Cuántos tenía al principio?</t>
  </si>
  <si>
    <t xml:space="preserve">7 - 4</t>
  </si>
  <si>
    <t xml:space="preserve">Barra total de 7; parte ganada de 4; parte inicial '?'.</t>
  </si>
  <si>
    <t xml:space="preserve">M1-N1-12</t>
  </si>
  <si>
    <t xml:space="preserve">Ana tenía algunos juguetes. Ganó 4 y ahora tiene 8. ¿Cuántos tenía al principio?</t>
  </si>
  <si>
    <t xml:space="preserve">8 - 4</t>
  </si>
  <si>
    <t xml:space="preserve">Barra total de 8; parte ganada de 4; parte inicial '?'.</t>
  </si>
  <si>
    <t xml:space="preserve">M1-N2-01</t>
  </si>
  <si>
    <t xml:space="preserve">6-7</t>
  </si>
  <si>
    <t xml:space="preserve">Dani tiene 30 libros y recibe 20 más. ¿Cuántos tiene ahora?</t>
  </si>
  <si>
    <t xml:space="preserve">30 + 20</t>
  </si>
  <si>
    <t xml:space="preserve">Una barra con dos partes (30 y 20) y una llave con '?' sobre el total.</t>
  </si>
  <si>
    <t xml:space="preserve">Dibuja una parte de 30 y otra de 20; busca el total.</t>
  </si>
  <si>
    <t xml:space="preserve">Restar 30 - 20 en lugar de sumar.</t>
  </si>
  <si>
    <t xml:space="preserve">M1-N2-02</t>
  </si>
  <si>
    <t xml:space="preserve">Hugo tiene 56 caramelos y recibe 11 más. ¿Cuántos tiene ahora?</t>
  </si>
  <si>
    <t xml:space="preserve">56 + 11</t>
  </si>
  <si>
    <t xml:space="preserve">Una barra con dos partes (56 y 11) y una llave con '?' sobre el total.</t>
  </si>
  <si>
    <t xml:space="preserve">Dibuja una parte de 56 y otra de 11; busca el total.</t>
  </si>
  <si>
    <t xml:space="preserve">Restar 56 - 11 en lugar de sumar.</t>
  </si>
  <si>
    <t xml:space="preserve">M1-N2-03</t>
  </si>
  <si>
    <t xml:space="preserve">Julia tiene 56 caramelos y recibe 20 más. ¿Cuántos tiene ahora?</t>
  </si>
  <si>
    <t xml:space="preserve">56 + 20</t>
  </si>
  <si>
    <t xml:space="preserve">Una barra con dos partes (56 y 20) y una llave con '?' sobre el total.</t>
  </si>
  <si>
    <t xml:space="preserve">Dibuja una parte de 56 y otra de 20; busca el total.</t>
  </si>
  <si>
    <t xml:space="preserve">Restar 56 - 20 en lugar de sumar.</t>
  </si>
  <si>
    <t xml:space="preserve">M1-N2-04</t>
  </si>
  <si>
    <t xml:space="preserve">Lola tiene 51 globos y regala 23. ¿Cuántos le quedan?</t>
  </si>
  <si>
    <t xml:space="preserve">51 - 23</t>
  </si>
  <si>
    <t xml:space="preserve">Barra total de 51, con una parte de 23 y otra parte '?'.</t>
  </si>
  <si>
    <t xml:space="preserve">La barra entera es 51. Quita la parte de 23.</t>
  </si>
  <si>
    <t xml:space="preserve">M1-N2-05</t>
  </si>
  <si>
    <t xml:space="preserve">Lola tiene 26 caramelos y regala 15. ¿Cuántos le quedan?</t>
  </si>
  <si>
    <t xml:space="preserve">26 - 15</t>
  </si>
  <si>
    <t xml:space="preserve">Barra total de 26, con una parte de 15 y otra parte '?'.</t>
  </si>
  <si>
    <t xml:space="preserve">La barra entera es 26. Quita la parte de 15.</t>
  </si>
  <si>
    <t xml:space="preserve">M1-N2-06</t>
  </si>
  <si>
    <t xml:space="preserve">Marta tiene 58 cromos y regala 11. ¿Cuántos le quedan?</t>
  </si>
  <si>
    <t xml:space="preserve">58 - 11</t>
  </si>
  <si>
    <t xml:space="preserve">Barra total de 58, con una parte de 11 y otra parte '?'.</t>
  </si>
  <si>
    <t xml:space="preserve">La barra entera es 58. Quita la parte de 11.</t>
  </si>
  <si>
    <t xml:space="preserve">M1-N2-07</t>
  </si>
  <si>
    <t xml:space="preserve">En una caja hay 52 caramelos; 23 son rojos y el resto azules. ¿Cuántos son azules?</t>
  </si>
  <si>
    <t xml:space="preserve">52 - 23</t>
  </si>
  <si>
    <t xml:space="preserve">Barra total de 52; parte roja de 23; parte azul '?'.</t>
  </si>
  <si>
    <t xml:space="preserve">M1-N2-08</t>
  </si>
  <si>
    <t xml:space="preserve">En una caja hay 39 libros; 11 son rojos y el resto azules. ¿Cuántos son azules?</t>
  </si>
  <si>
    <t xml:space="preserve">39 - 11</t>
  </si>
  <si>
    <t xml:space="preserve">Barra total de 39; parte roja de 11; parte azul '?'.</t>
  </si>
  <si>
    <t xml:space="preserve">M1-N2-09</t>
  </si>
  <si>
    <t xml:space="preserve">En una caja hay 54 juguetes; 23 son rojos y el resto azules. ¿Cuántos son azules?</t>
  </si>
  <si>
    <t xml:space="preserve">54 - 23</t>
  </si>
  <si>
    <t xml:space="preserve">Barra total de 54; parte roja de 23; parte azul '?'.</t>
  </si>
  <si>
    <t xml:space="preserve">M1-N2-10</t>
  </si>
  <si>
    <t xml:space="preserve">Iker tenía algunos caramelos. Ganó 20 y ahora tiene 41. ¿Cuántos tenía al principio?</t>
  </si>
  <si>
    <t xml:space="preserve">41 - 20</t>
  </si>
  <si>
    <t xml:space="preserve">Barra total de 41; parte ganada de 20; parte inicial '?'.</t>
  </si>
  <si>
    <t xml:space="preserve">M1-N2-11</t>
  </si>
  <si>
    <t xml:space="preserve">Carla tenía algunos globos. Ganó 24 y ahora tiene 60. ¿Cuántos tenía al principio?</t>
  </si>
  <si>
    <t xml:space="preserve">60 - 24</t>
  </si>
  <si>
    <t xml:space="preserve">Barra total de 60; parte ganada de 24; parte inicial '?'.</t>
  </si>
  <si>
    <t xml:space="preserve">M1-N2-12</t>
  </si>
  <si>
    <t xml:space="preserve">Iker tenía algunos libros. Ganó 21 y ahora tiene 50. ¿Cuántos tenía al principio?</t>
  </si>
  <si>
    <t xml:space="preserve">50 - 21</t>
  </si>
  <si>
    <t xml:space="preserve">Barra total de 50; parte ganada de 21; parte inicial '?'.</t>
  </si>
  <si>
    <t xml:space="preserve">M1-N3-01</t>
  </si>
  <si>
    <t xml:space="preserve">7</t>
  </si>
  <si>
    <t xml:space="preserve">Pedro tiene 77 globos y recibe 15 más. ¿Cuántos tiene ahora?</t>
  </si>
  <si>
    <t xml:space="preserve">77 + 15</t>
  </si>
  <si>
    <t xml:space="preserve">Una barra con dos partes (77 y 15) y una llave con '?' sobre el total.</t>
  </si>
  <si>
    <t xml:space="preserve">Dibuja una parte de 77 y otra de 15; busca el total.</t>
  </si>
  <si>
    <t xml:space="preserve">Restar 77 - 15 en lugar de sumar.</t>
  </si>
  <si>
    <t xml:space="preserve">M1-N3-02</t>
  </si>
  <si>
    <t xml:space="preserve">Ana tiene 98 lápices y recibe 45 más. ¿Cuántos tiene ahora?</t>
  </si>
  <si>
    <t xml:space="preserve">98 + 45</t>
  </si>
  <si>
    <t xml:space="preserve">Una barra con dos partes (98 y 45) y una llave con '?' sobre el total.</t>
  </si>
  <si>
    <t xml:space="preserve">Dibuja una parte de 98 y otra de 45; busca el total.</t>
  </si>
  <si>
    <t xml:space="preserve">Restar 98 - 45 en lugar de sumar.</t>
  </si>
  <si>
    <t xml:space="preserve">M1-N3-03</t>
  </si>
  <si>
    <t xml:space="preserve">Dani tiene 91 caramelos y recibe 26 más. ¿Cuántos tiene ahora?</t>
  </si>
  <si>
    <t xml:space="preserve">91 + 26</t>
  </si>
  <si>
    <t xml:space="preserve">Una barra con dos partes (91 y 26) y una llave con '?' sobre el total.</t>
  </si>
  <si>
    <t xml:space="preserve">Dibuja una parte de 91 y otra de 26; busca el total.</t>
  </si>
  <si>
    <t xml:space="preserve">Restar 91 - 26 en lugar de sumar.</t>
  </si>
  <si>
    <t xml:space="preserve">M1-N3-04</t>
  </si>
  <si>
    <t xml:space="preserve">Pedro tiene 91 globos y regala 29. ¿Cuántos le quedan?</t>
  </si>
  <si>
    <t xml:space="preserve">91 - 29</t>
  </si>
  <si>
    <t xml:space="preserve">Barra total de 91, con una parte de 29 y otra parte '?'.</t>
  </si>
  <si>
    <t xml:space="preserve">La barra entera es 91. Quita la parte de 29.</t>
  </si>
  <si>
    <t xml:space="preserve">M1-N3-05</t>
  </si>
  <si>
    <t xml:space="preserve">Lola tiene 87 libros y regala 32. ¿Cuántos le quedan?</t>
  </si>
  <si>
    <t xml:space="preserve">87 - 32</t>
  </si>
  <si>
    <t xml:space="preserve">Barra total de 87, con una parte de 32 y otra parte '?'.</t>
  </si>
  <si>
    <t xml:space="preserve">La barra entera es 87. Quita la parte de 32.</t>
  </si>
  <si>
    <t xml:space="preserve">M1-N3-06</t>
  </si>
  <si>
    <t xml:space="preserve">Carla tiene 78 cromos y regala 25. ¿Cuántos le quedan?</t>
  </si>
  <si>
    <t xml:space="preserve">78 - 25</t>
  </si>
  <si>
    <t xml:space="preserve">Barra total de 78, con una parte de 25 y otra parte '?'.</t>
  </si>
  <si>
    <t xml:space="preserve">La barra entera es 78. Quita la parte de 25.</t>
  </si>
  <si>
    <t xml:space="preserve">M1-N3-07</t>
  </si>
  <si>
    <t xml:space="preserve">En una caja hay 88 cromos; 37 son rojos y el resto azules. ¿Cuántos son azules?</t>
  </si>
  <si>
    <t xml:space="preserve">88 - 37</t>
  </si>
  <si>
    <t xml:space="preserve">Barra total de 88; parte roja de 37; parte azul '?'.</t>
  </si>
  <si>
    <t xml:space="preserve">M1-N3-08</t>
  </si>
  <si>
    <t xml:space="preserve">En una caja hay 76 caramelos; 29 son rojos y el resto azules. ¿Cuántos son azules?</t>
  </si>
  <si>
    <t xml:space="preserve">76 - 29</t>
  </si>
  <si>
    <t xml:space="preserve">Barra total de 76; parte roja de 29; parte azul '?'.</t>
  </si>
  <si>
    <t xml:space="preserve">M1-N3-09</t>
  </si>
  <si>
    <t xml:space="preserve">En una caja hay 90 libros; 45 son rojos y el resto azules. ¿Cuántos son azules?</t>
  </si>
  <si>
    <t xml:space="preserve">90 - 45</t>
  </si>
  <si>
    <t xml:space="preserve">Barra total de 90; parte roja de 45; parte azul '?'.</t>
  </si>
  <si>
    <t xml:space="preserve">M1-N3-10</t>
  </si>
  <si>
    <t xml:space="preserve">Leo tenía algunos juguetes. Ganó 43 y ahora tiene 77. ¿Cuántos tenía al principio?</t>
  </si>
  <si>
    <t xml:space="preserve">77 - 43</t>
  </si>
  <si>
    <t xml:space="preserve">Barra total de 77; parte ganada de 43; parte inicial '?'.</t>
  </si>
  <si>
    <t xml:space="preserve">M1-N3-11</t>
  </si>
  <si>
    <t xml:space="preserve">Dani tenía algunos globos. Ganó 21 y ahora tiene 66. ¿Cuántos tenía al principio?</t>
  </si>
  <si>
    <t xml:space="preserve">66 - 21</t>
  </si>
  <si>
    <t xml:space="preserve">Barra total de 66; parte ganada de 21; parte inicial '?'.</t>
  </si>
  <si>
    <t xml:space="preserve">M1-N3-12</t>
  </si>
  <si>
    <t xml:space="preserve">Iker tenía algunos libros. Ganó 29 y ahora tiene 69. ¿Cuántos tenía al principio?</t>
  </si>
  <si>
    <t xml:space="preserve">69 - 29</t>
  </si>
  <si>
    <t xml:space="preserve">Barra total de 69; parte ganada de 29; parte inicial '?'.</t>
  </si>
  <si>
    <t xml:space="preserve">M2-N1-01</t>
  </si>
  <si>
    <t xml:space="preserve">Comparación</t>
  </si>
  <si>
    <t xml:space="preserve">7-8</t>
  </si>
  <si>
    <t xml:space="preserve">Ana tiene 17 cromos y Leo tiene 6 más que Ana. ¿Cuántos tiene Leo?</t>
  </si>
  <si>
    <t xml:space="preserve">17 + 6</t>
  </si>
  <si>
    <t xml:space="preserve">Barra de Ana = 17; barra de Leo = 17 + bloque de 6; '?' en la barra de Leo.</t>
  </si>
  <si>
    <t xml:space="preserve">¿Quién tiene más, Ana o Leo?</t>
  </si>
  <si>
    <t xml:space="preserve">La barra de Leo empieza igual y añade 6.</t>
  </si>
  <si>
    <t xml:space="preserve">Responder 6 (solo la diferencia).</t>
  </si>
  <si>
    <t xml:space="preserve">M2-N1-02</t>
  </si>
  <si>
    <t xml:space="preserve">Lola tiene 13 caramelos y Leo tiene 3 más que Lola. ¿Cuántos tiene Leo?</t>
  </si>
  <si>
    <t xml:space="preserve">13 + 3</t>
  </si>
  <si>
    <t xml:space="preserve">Barra de Lola = 13; barra de Leo = 13 + bloque de 3; '?' en la barra de Leo.</t>
  </si>
  <si>
    <t xml:space="preserve">¿Quién tiene más, Lola o Leo?</t>
  </si>
  <si>
    <t xml:space="preserve">La barra de Leo empieza igual y añade 3.</t>
  </si>
  <si>
    <t xml:space="preserve">Responder 3 (solo la diferencia).</t>
  </si>
  <si>
    <t xml:space="preserve">M2-N1-03</t>
  </si>
  <si>
    <t xml:space="preserve">Leo tiene 18 cromos y Hugo tiene 4 más que Leo. ¿Cuántos tiene Hugo?</t>
  </si>
  <si>
    <t xml:space="preserve">18 + 4</t>
  </si>
  <si>
    <t xml:space="preserve">Barra de Leo = 18; barra de Hugo = 18 + bloque de 4; '?' en la barra de Hugo.</t>
  </si>
  <si>
    <t xml:space="preserve">¿Quién tiene más, Leo o Hugo?</t>
  </si>
  <si>
    <t xml:space="preserve">La barra de Hugo empieza igual y añade 4.</t>
  </si>
  <si>
    <t xml:space="preserve">Responder 4 (solo la diferencia).</t>
  </si>
  <si>
    <t xml:space="preserve">M2-N1-04</t>
  </si>
  <si>
    <t xml:space="preserve">Carla tiene 12 globos y Iker tiene 2 menos. ¿Cuántos tiene Iker?</t>
  </si>
  <si>
    <t xml:space="preserve">12 - 2</t>
  </si>
  <si>
    <t xml:space="preserve">Barra de Carla = 12; barra de Iker más corta en 2; '?' en la barra de Iker.</t>
  </si>
  <si>
    <t xml:space="preserve">¿La barra de Iker es más larga o más corta?</t>
  </si>
  <si>
    <t xml:space="preserve">Quita 2 a la barra de Carla.</t>
  </si>
  <si>
    <t xml:space="preserve">Sumar porque aparece el número más pequeño.</t>
  </si>
  <si>
    <t xml:space="preserve">M2-N1-05</t>
  </si>
  <si>
    <t xml:space="preserve">Tomás tiene 19 caramelos y Carla tiene 8 menos. ¿Cuántos tiene Carla?</t>
  </si>
  <si>
    <t xml:space="preserve">19 - 8</t>
  </si>
  <si>
    <t xml:space="preserve">Barra de Tomás = 19; barra de Carla más corta en 8; '?' en la barra de Carla.</t>
  </si>
  <si>
    <t xml:space="preserve">¿La barra de Carla es más larga o más corta?</t>
  </si>
  <si>
    <t xml:space="preserve">Quita 8 a la barra de Tomás.</t>
  </si>
  <si>
    <t xml:space="preserve">M2-N1-06</t>
  </si>
  <si>
    <t xml:space="preserve">Dani tiene 13 caramelos y Marta tiene 5 menos. ¿Cuántos tiene Marta?</t>
  </si>
  <si>
    <t xml:space="preserve">13 - 5</t>
  </si>
  <si>
    <t xml:space="preserve">Barra de Dani = 13; barra de Marta más corta en 5; '?' en la barra de Marta.</t>
  </si>
  <si>
    <t xml:space="preserve">¿La barra de Marta es más larga o más corta?</t>
  </si>
  <si>
    <t xml:space="preserve">Quita 5 a la barra de Dani.</t>
  </si>
  <si>
    <t xml:space="preserve">M2-N1-07</t>
  </si>
  <si>
    <t xml:space="preserve">Hugo tiene 18 caramelos y Marta tiene 4. ¿Cuántos más tiene Hugo que Marta?</t>
  </si>
  <si>
    <t xml:space="preserve">18 - 4</t>
  </si>
  <si>
    <t xml:space="preserve">Dos barras alineadas (18 y 4) y un corchete '?' en la diferencia.</t>
  </si>
  <si>
    <t xml:space="preserve">Alinea las dos barras desde la izquierda.</t>
  </si>
  <si>
    <t xml:space="preserve">La diferencia es la parte que sobresale de la barra larga.</t>
  </si>
  <si>
    <t xml:space="preserve">M2-N1-08</t>
  </si>
  <si>
    <t xml:space="preserve">Leo tiene 12 juguetes y Julia tiene 3. ¿Cuántos más tiene Leo que Julia?</t>
  </si>
  <si>
    <t xml:space="preserve">12 - 3</t>
  </si>
  <si>
    <t xml:space="preserve">Dos barras alineadas (12 y 3) y un corchete '?' en la diferencia.</t>
  </si>
  <si>
    <t xml:space="preserve">M2-N1-09</t>
  </si>
  <si>
    <t xml:space="preserve">Hugo tiene 16 caramelos y Sofía tiene 5. ¿Cuántos más tiene Hugo que Sofía?</t>
  </si>
  <si>
    <t xml:space="preserve">16 - 5</t>
  </si>
  <si>
    <t xml:space="preserve">Dos barras alineadas (16 y 5) y un corchete '?' en la diferencia.</t>
  </si>
  <si>
    <t xml:space="preserve">M2-N1-10</t>
  </si>
  <si>
    <t xml:space="preserve">Marta tiene 16 lápices y Lola tiene 2 más que Marta. ¿Cuántos tienen entre los dos?</t>
  </si>
  <si>
    <t xml:space="preserve">16 + (16 + 2)</t>
  </si>
  <si>
    <t xml:space="preserve">Barra de Marta = 16; barra de Lola = 16 + 2; llave '?' sobre ambas.</t>
  </si>
  <si>
    <t xml:space="preserve">Primero, ¿cuántos tiene Lola?</t>
  </si>
  <si>
    <t xml:space="preserve">Después suma las dos barras.</t>
  </si>
  <si>
    <t xml:space="preserve">Calcular solo lo de Lola, sin sumar a Marta.</t>
  </si>
  <si>
    <t xml:space="preserve">M2-N1-11</t>
  </si>
  <si>
    <t xml:space="preserve">Leo tiene 10 cromos y Julia tiene 8 más que Leo. ¿Cuántos tienen entre los dos?</t>
  </si>
  <si>
    <t xml:space="preserve">10 + (10 + 8)</t>
  </si>
  <si>
    <t xml:space="preserve">Barra de Leo = 10; barra de Julia = 10 + 8; llave '?' sobre ambas.</t>
  </si>
  <si>
    <t xml:space="preserve">Primero, ¿cuántos tiene Julia?</t>
  </si>
  <si>
    <t xml:space="preserve">Calcular solo lo de Julia, sin sumar a Leo.</t>
  </si>
  <si>
    <t xml:space="preserve">M2-N1-12</t>
  </si>
  <si>
    <t xml:space="preserve">Tomás tiene 10 globos y Carla tiene 2 más que Tomás. ¿Cuántos tienen entre los dos?</t>
  </si>
  <si>
    <t xml:space="preserve">10 + (10 + 2)</t>
  </si>
  <si>
    <t xml:space="preserve">Barra de Tomás = 10; barra de Carla = 10 + 2; llave '?' sobre ambas.</t>
  </si>
  <si>
    <t xml:space="preserve">Primero, ¿cuántos tiene Carla?</t>
  </si>
  <si>
    <t xml:space="preserve">Calcular solo lo de Carla, sin sumar a Tomás.</t>
  </si>
  <si>
    <t xml:space="preserve">M2-N2-01</t>
  </si>
  <si>
    <t xml:space="preserve">8-9</t>
  </si>
  <si>
    <t xml:space="preserve">Lola tiene 41 globos y Dani tiene 10 más que Lola. ¿Cuántos tiene Dani?</t>
  </si>
  <si>
    <t xml:space="preserve">41 + 10</t>
  </si>
  <si>
    <t xml:space="preserve">Barra de Lola = 41; barra de Dani = 41 + bloque de 10; '?' en la barra de Dani.</t>
  </si>
  <si>
    <t xml:space="preserve">¿Quién tiene más, Lola o Dani?</t>
  </si>
  <si>
    <t xml:space="preserve">La barra de Dani empieza igual y añade 10.</t>
  </si>
  <si>
    <t xml:space="preserve">Responder 10 (solo la diferencia).</t>
  </si>
  <si>
    <t xml:space="preserve">M2-N2-02</t>
  </si>
  <si>
    <t xml:space="preserve">Dani tiene 35 cromos y Tomás tiene 13 más que Dani. ¿Cuántos tiene Tomás?</t>
  </si>
  <si>
    <t xml:space="preserve">35 + 13</t>
  </si>
  <si>
    <t xml:space="preserve">Barra de Dani = 35; barra de Tomás = 35 + bloque de 13; '?' en la barra de Tomás.</t>
  </si>
  <si>
    <t xml:space="preserve">¿Quién tiene más, Dani o Tomás?</t>
  </si>
  <si>
    <t xml:space="preserve">La barra de Tomás empieza igual y añade 13.</t>
  </si>
  <si>
    <t xml:space="preserve">Responder 13 (solo la diferencia).</t>
  </si>
  <si>
    <t xml:space="preserve">M2-N2-03</t>
  </si>
  <si>
    <t xml:space="preserve">Hugo tiene 24 lápices y Iker tiene 15 más que Hugo. ¿Cuántos tiene Iker?</t>
  </si>
  <si>
    <t xml:space="preserve">24 + 15</t>
  </si>
  <si>
    <t xml:space="preserve">Barra de Hugo = 24; barra de Iker = 24 + bloque de 15; '?' en la barra de Iker.</t>
  </si>
  <si>
    <t xml:space="preserve">¿Quién tiene más, Hugo o Iker?</t>
  </si>
  <si>
    <t xml:space="preserve">La barra de Iker empieza igual y añade 15.</t>
  </si>
  <si>
    <t xml:space="preserve">Responder 15 (solo la diferencia).</t>
  </si>
  <si>
    <t xml:space="preserve">M2-N2-04</t>
  </si>
  <si>
    <t xml:space="preserve">Lola tiene 39 libros y Pedro tiene 11 menos. ¿Cuántos tiene Pedro?</t>
  </si>
  <si>
    <t xml:space="preserve">Barra de Lola = 39; barra de Pedro más corta en 11; '?' en la barra de Pedro.</t>
  </si>
  <si>
    <t xml:space="preserve">¿La barra de Pedro es más larga o más corta?</t>
  </si>
  <si>
    <t xml:space="preserve">Quita 11 a la barra de Lola.</t>
  </si>
  <si>
    <t xml:space="preserve">M2-N2-05</t>
  </si>
  <si>
    <t xml:space="preserve">Dani tiene 41 lápices y Hugo tiene 17 menos. ¿Cuántos tiene Hugo?</t>
  </si>
  <si>
    <t xml:space="preserve">41 - 17</t>
  </si>
  <si>
    <t xml:space="preserve">Barra de Dani = 41; barra de Hugo más corta en 17; '?' en la barra de Hugo.</t>
  </si>
  <si>
    <t xml:space="preserve">¿La barra de Hugo es más larga o más corta?</t>
  </si>
  <si>
    <t xml:space="preserve">Quita 17 a la barra de Dani.</t>
  </si>
  <si>
    <t xml:space="preserve">M2-N2-06</t>
  </si>
  <si>
    <t xml:space="preserve">Leo tiene 21 libros y Lola tiene 9 menos. ¿Cuántos tiene Lola?</t>
  </si>
  <si>
    <t xml:space="preserve">21 - 9</t>
  </si>
  <si>
    <t xml:space="preserve">Barra de Leo = 21; barra de Lola más corta en 9; '?' en la barra de Lola.</t>
  </si>
  <si>
    <t xml:space="preserve">¿La barra de Lola es más larga o más corta?</t>
  </si>
  <si>
    <t xml:space="preserve">Quita 9 a la barra de Leo.</t>
  </si>
  <si>
    <t xml:space="preserve">M2-N2-07</t>
  </si>
  <si>
    <t xml:space="preserve">Carla tiene 40 cromos y Marta tiene 14. ¿Cuántos más tiene Carla que Marta?</t>
  </si>
  <si>
    <t xml:space="preserve">40 - 14</t>
  </si>
  <si>
    <t xml:space="preserve">Dos barras alineadas (40 y 14) y un corchete '?' en la diferencia.</t>
  </si>
  <si>
    <t xml:space="preserve">M2-N2-08</t>
  </si>
  <si>
    <t xml:space="preserve">Ana tiene 26 juguetes y Dani tiene 13. ¿Cuántos más tiene Ana que Dani?</t>
  </si>
  <si>
    <t xml:space="preserve">26 - 13</t>
  </si>
  <si>
    <t xml:space="preserve">Dos barras alineadas (26 y 13) y un corchete '?' en la diferencia.</t>
  </si>
  <si>
    <t xml:space="preserve">M2-N2-09</t>
  </si>
  <si>
    <t xml:space="preserve">Iker tiene 24 cromos y Carla tiene 16. ¿Cuántos más tiene Iker que Carla?</t>
  </si>
  <si>
    <t xml:space="preserve">24 - 16</t>
  </si>
  <si>
    <t xml:space="preserve">Dos barras alineadas (24 y 16) y un corchete '?' en la diferencia.</t>
  </si>
  <si>
    <t xml:space="preserve">M2-N2-10</t>
  </si>
  <si>
    <t xml:space="preserve">Lola tiene 48 caramelos y Pedro tiene 8 más que Lola. ¿Cuántos tienen entre los dos?</t>
  </si>
  <si>
    <t xml:space="preserve">48 + (48 + 8)</t>
  </si>
  <si>
    <t xml:space="preserve">Barra de Lola = 48; barra de Pedro = 48 + 8; llave '?' sobre ambas.</t>
  </si>
  <si>
    <t xml:space="preserve">Primero, ¿cuántos tiene Pedro?</t>
  </si>
  <si>
    <t xml:space="preserve">Calcular solo lo de Pedro, sin sumar a Lola.</t>
  </si>
  <si>
    <t xml:space="preserve">M2-N2-11</t>
  </si>
  <si>
    <t xml:space="preserve">Marta tiene 32 lápices y Carla tiene 10 más que Marta. ¿Cuántos tienen entre los dos?</t>
  </si>
  <si>
    <t xml:space="preserve">32 + (32 + 10)</t>
  </si>
  <si>
    <t xml:space="preserve">Barra de Marta = 32; barra de Carla = 32 + 10; llave '?' sobre ambas.</t>
  </si>
  <si>
    <t xml:space="preserve">Calcular solo lo de Carla, sin sumar a Marta.</t>
  </si>
  <si>
    <t xml:space="preserve">M2-N2-12</t>
  </si>
  <si>
    <t xml:space="preserve">Julia tiene 47 libros y Lola tiene 7 más que Julia. ¿Cuántos tienen entre los dos?</t>
  </si>
  <si>
    <t xml:space="preserve">47 + (47 + 7)</t>
  </si>
  <si>
    <t xml:space="preserve">Barra de Julia = 47; barra de Lola = 47 + 7; llave '?' sobre ambas.</t>
  </si>
  <si>
    <t xml:space="preserve">Calcular solo lo de Lola, sin sumar a Julia.</t>
  </si>
  <si>
    <t xml:space="preserve">M2-N3-01</t>
  </si>
  <si>
    <t xml:space="preserve">9</t>
  </si>
  <si>
    <t xml:space="preserve">Julia tiene 94 lápices y Sofía tiene 17 más que Julia. ¿Cuántos tiene Sofía?</t>
  </si>
  <si>
    <t xml:space="preserve">94 + 17</t>
  </si>
  <si>
    <t xml:space="preserve">Barra de Julia = 94; barra de Sofía = 94 + bloque de 17; '?' en la barra de Sofía.</t>
  </si>
  <si>
    <t xml:space="preserve">¿Quién tiene más, Julia o Sofía?</t>
  </si>
  <si>
    <t xml:space="preserve">La barra de Sofía empieza igual y añade 17.</t>
  </si>
  <si>
    <t xml:space="preserve">Responder 17 (solo la diferencia).</t>
  </si>
  <si>
    <t xml:space="preserve">M2-N3-02</t>
  </si>
  <si>
    <t xml:space="preserve">Sofía tiene 103 libros y Dani tiene 21 más que Sofía. ¿Cuántos tiene Dani?</t>
  </si>
  <si>
    <t xml:space="preserve">103 + 21</t>
  </si>
  <si>
    <t xml:space="preserve">Barra de Sofía = 103; barra de Dani = 103 + bloque de 21; '?' en la barra de Dani.</t>
  </si>
  <si>
    <t xml:space="preserve">¿Quién tiene más, Sofía o Dani?</t>
  </si>
  <si>
    <t xml:space="preserve">La barra de Dani empieza igual y añade 21.</t>
  </si>
  <si>
    <t xml:space="preserve">Responder 21 (solo la diferencia).</t>
  </si>
  <si>
    <t xml:space="preserve">M2-N3-03</t>
  </si>
  <si>
    <t xml:space="preserve">Dani tiene 116 globos y Marta tiene 27 más que Dani. ¿Cuántos tiene Marta?</t>
  </si>
  <si>
    <t xml:space="preserve">116 + 27</t>
  </si>
  <si>
    <t xml:space="preserve">Barra de Dani = 116; barra de Marta = 116 + bloque de 27; '?' en la barra de Marta.</t>
  </si>
  <si>
    <t xml:space="preserve">¿Quién tiene más, Dani o Marta?</t>
  </si>
  <si>
    <t xml:space="preserve">La barra de Marta empieza igual y añade 27.</t>
  </si>
  <si>
    <t xml:space="preserve">Responder 27 (solo la diferencia).</t>
  </si>
  <si>
    <t xml:space="preserve">M2-N3-04</t>
  </si>
  <si>
    <t xml:space="preserve">Dani tiene 117 caramelos y Leo tiene 37 menos. ¿Cuántos tiene Leo?</t>
  </si>
  <si>
    <t xml:space="preserve">117 - 37</t>
  </si>
  <si>
    <t xml:space="preserve">Barra de Dani = 117; barra de Leo más corta en 37; '?' en la barra de Leo.</t>
  </si>
  <si>
    <t xml:space="preserve">¿La barra de Leo es más larga o más corta?</t>
  </si>
  <si>
    <t xml:space="preserve">Quita 37 a la barra de Dani.</t>
  </si>
  <si>
    <t xml:space="preserve">M2-N3-05</t>
  </si>
  <si>
    <t xml:space="preserve">Sofía tiene 79 lápices y Leo tiene 12 menos. ¿Cuántos tiene Leo?</t>
  </si>
  <si>
    <t xml:space="preserve">79 - 12</t>
  </si>
  <si>
    <t xml:space="preserve">Barra de Sofía = 79; barra de Leo más corta en 12; '?' en la barra de Leo.</t>
  </si>
  <si>
    <t xml:space="preserve">Quita 12 a la barra de Sofía.</t>
  </si>
  <si>
    <t xml:space="preserve">M2-N3-06</t>
  </si>
  <si>
    <t xml:space="preserve">Leo tiene 92 juguetes y Dani tiene 25 menos. ¿Cuántos tiene Dani?</t>
  </si>
  <si>
    <t xml:space="preserve">92 - 25</t>
  </si>
  <si>
    <t xml:space="preserve">Barra de Leo = 92; barra de Dani más corta en 25; '?' en la barra de Dani.</t>
  </si>
  <si>
    <t xml:space="preserve">¿La barra de Dani es más larga o más corta?</t>
  </si>
  <si>
    <t xml:space="preserve">Quita 25 a la barra de Leo.</t>
  </si>
  <si>
    <t xml:space="preserve">M2-N3-07</t>
  </si>
  <si>
    <t xml:space="preserve">Lola tiene 53 lápices y Carla tiene 23. ¿Cuántos más tiene Lola que Carla?</t>
  </si>
  <si>
    <t xml:space="preserve">53 - 23</t>
  </si>
  <si>
    <t xml:space="preserve">Dos barras alineadas (53 y 23) y un corchete '?' en la diferencia.</t>
  </si>
  <si>
    <t xml:space="preserve">M2-N3-08</t>
  </si>
  <si>
    <t xml:space="preserve">Marta tiene 118 caramelos y Tomás tiene 18. ¿Cuántos más tiene Marta que Tomás?</t>
  </si>
  <si>
    <t xml:space="preserve">118 - 18</t>
  </si>
  <si>
    <t xml:space="preserve">Dos barras alineadas (118 y 18) y un corchete '?' en la diferencia.</t>
  </si>
  <si>
    <t xml:space="preserve">M2-N3-09</t>
  </si>
  <si>
    <t xml:space="preserve">Leo tiene 85 juguetes y Hugo tiene 29. ¿Cuántos más tiene Leo que Hugo?</t>
  </si>
  <si>
    <t xml:space="preserve">85 - 29</t>
  </si>
  <si>
    <t xml:space="preserve">Dos barras alineadas (85 y 29) y un corchete '?' en la diferencia.</t>
  </si>
  <si>
    <t xml:space="preserve">M2-N3-10</t>
  </si>
  <si>
    <t xml:space="preserve">Hugo tiene 87 caramelos y Pedro tiene 30 más que Hugo. ¿Cuántos tienen entre los dos?</t>
  </si>
  <si>
    <t xml:space="preserve">87 + (87 + 30)</t>
  </si>
  <si>
    <t xml:space="preserve">Barra de Hugo = 87; barra de Pedro = 87 + 30; llave '?' sobre ambas.</t>
  </si>
  <si>
    <t xml:space="preserve">Calcular solo lo de Pedro, sin sumar a Hugo.</t>
  </si>
  <si>
    <t xml:space="preserve">M2-N3-11</t>
  </si>
  <si>
    <t xml:space="preserve">Sofía tiene 66 caramelos y Carla tiene 15 más que Sofía. ¿Cuántos tienen entre los dos?</t>
  </si>
  <si>
    <t xml:space="preserve">66 + (66 + 15)</t>
  </si>
  <si>
    <t xml:space="preserve">Barra de Sofía = 66; barra de Carla = 66 + 15; llave '?' sobre ambas.</t>
  </si>
  <si>
    <t xml:space="preserve">Calcular solo lo de Carla, sin sumar a Sofía.</t>
  </si>
  <si>
    <t xml:space="preserve">M2-N3-12</t>
  </si>
  <si>
    <t xml:space="preserve">Sofía tiene 71 libros y Leo tiene 15 más que Sofía. ¿Cuántos tienen entre los dos?</t>
  </si>
  <si>
    <t xml:space="preserve">71 + (71 + 15)</t>
  </si>
  <si>
    <t xml:space="preserve">Barra de Sofía = 71; barra de Leo = 71 + 15; llave '?' sobre ambas.</t>
  </si>
  <si>
    <t xml:space="preserve">Primero, ¿cuántos tiene Leo?</t>
  </si>
  <si>
    <t xml:space="preserve">Calcular solo lo de Leo, sin sumar a Sofía.</t>
  </si>
  <si>
    <t xml:space="preserve">M3-N1-01</t>
  </si>
  <si>
    <t xml:space="preserve">Fracciones</t>
  </si>
  <si>
    <t xml:space="preserve">Parte-todo (fracciones)</t>
  </si>
  <si>
    <t xml:space="preserve">Hay 8 lápices; 1/2 son rojos. ¿Cuántos son rojos?</t>
  </si>
  <si>
    <t xml:space="preserve">8 ÷ 2 × 1</t>
  </si>
  <si>
    <t xml:space="preserve">Barra de 8 dividida en 2 partes iguales; se sombrean 1 y '?' marca su valor.</t>
  </si>
  <si>
    <t xml:space="preserve">¿En cuántas partes iguales se divide la barra?</t>
  </si>
  <si>
    <t xml:space="preserve">Calcula cuánto vale una parte y toma 1.</t>
  </si>
  <si>
    <t xml:space="preserve">Dividir y olvidar multiplicar por el numerador.</t>
  </si>
  <si>
    <t xml:space="preserve">M3-N1-02</t>
  </si>
  <si>
    <t xml:space="preserve">Hay 12 globos; 1/2 son rojos. ¿Cuántos son rojos?</t>
  </si>
  <si>
    <t xml:space="preserve">12 ÷ 2 × 1</t>
  </si>
  <si>
    <t xml:space="preserve">Barra de 12 dividida en 2 partes iguales; se sombrean 1 y '?' marca su valor.</t>
  </si>
  <si>
    <t xml:space="preserve">M3-N1-03</t>
  </si>
  <si>
    <t xml:space="preserve">Hay 16 cromos; 3/4 son rojos. ¿Cuántos son rojos?</t>
  </si>
  <si>
    <t xml:space="preserve">16 ÷ 4 × 3</t>
  </si>
  <si>
    <t xml:space="preserve">Barra de 16 dividida en 4 partes iguales; se sombrean 3 y '?' marca su valor.</t>
  </si>
  <si>
    <t xml:space="preserve">Calcula cuánto vale una parte y toma 3.</t>
  </si>
  <si>
    <t xml:space="preserve">M3-N1-04</t>
  </si>
  <si>
    <t xml:space="preserve">Ana tenía 20 euros y gastó 1/4. ¿Cuántos euros le quedan?</t>
  </si>
  <si>
    <t xml:space="preserve">20 - (20 ÷ 4 × 1)</t>
  </si>
  <si>
    <t xml:space="preserve">Barra de 20 en 4 partes; 1 sombreadas (gastado); el resto '?'.</t>
  </si>
  <si>
    <t xml:space="preserve">¿Qué parte se gastó y cuál queda?</t>
  </si>
  <si>
    <t xml:space="preserve">Halla lo gastado y réstalo del total.</t>
  </si>
  <si>
    <t xml:space="preserve">Responder con lo gastado.</t>
  </si>
  <si>
    <t xml:space="preserve">M3-N1-05</t>
  </si>
  <si>
    <t xml:space="preserve">Sofía tenía 4 euros y gastó 1/2. ¿Cuántos euros le quedan?</t>
  </si>
  <si>
    <t xml:space="preserve">4 - (4 ÷ 2 × 1)</t>
  </si>
  <si>
    <t xml:space="preserve">Barra de 4 en 2 partes; 1 sombreadas (gastado); el resto '?'.</t>
  </si>
  <si>
    <t xml:space="preserve">M3-N1-06</t>
  </si>
  <si>
    <t xml:space="preserve">Hugo tenía 12 euros y gastó 1/2. ¿Cuántos euros le quedan?</t>
  </si>
  <si>
    <t xml:space="preserve">12 - (12 ÷ 2 × 1)</t>
  </si>
  <si>
    <t xml:space="preserve">Barra de 12 en 2 partes; 1 sombreadas (gastado); el resto '?'.</t>
  </si>
  <si>
    <t xml:space="preserve">M3-N1-07</t>
  </si>
  <si>
    <t xml:space="preserve">Un cuento tiene 20 páginas y Hugo ya leyó 1/4. ¿Cuántas páginas le faltan?</t>
  </si>
  <si>
    <t xml:space="preserve">20 - (20 ÷ 4)</t>
  </si>
  <si>
    <t xml:space="preserve">Barra de 20 en 4 partes; 1 leída; las demás '?'.</t>
  </si>
  <si>
    <t xml:space="preserve">¿Cuántas partes faltan por leer?</t>
  </si>
  <si>
    <t xml:space="preserve">Faltan 3 de 4 partes: halla una parte y multiplica.</t>
  </si>
  <si>
    <t xml:space="preserve">Responder con lo leído.</t>
  </si>
  <si>
    <t xml:space="preserve">M3-N1-08</t>
  </si>
  <si>
    <t xml:space="preserve">Un cuento tiene 10 páginas y Tomás ya leyó 1/2. ¿Cuántas páginas le faltan?</t>
  </si>
  <si>
    <t xml:space="preserve">10 - (10 ÷ 2)</t>
  </si>
  <si>
    <t xml:space="preserve">Barra de 10 en 2 partes; 1 leída; las demás '?'.</t>
  </si>
  <si>
    <t xml:space="preserve">Faltan 1 de 2 partes: halla una parte y multiplica.</t>
  </si>
  <si>
    <t xml:space="preserve">M3-N1-09</t>
  </si>
  <si>
    <t xml:space="preserve">Un cuento tiene 12 páginas y Dani ya leyó 1/2. ¿Cuántas páginas le faltan?</t>
  </si>
  <si>
    <t xml:space="preserve">12 - (12 ÷ 2)</t>
  </si>
  <si>
    <t xml:space="preserve">Barra de 12 en 2 partes; 1 leída; las demás '?'.</t>
  </si>
  <si>
    <t xml:space="preserve">M3-N1-10</t>
  </si>
  <si>
    <t xml:space="preserve">1/2 de los alumnos de una clase son niñas y hay 4 niñas. ¿Cuántos alumnos hay en la clase?</t>
  </si>
  <si>
    <t xml:space="preserve">4 ÷ 1 × 2</t>
  </si>
  <si>
    <t xml:space="preserve">Barra en 2 partes; 1 valen 4; el total '?'.</t>
  </si>
  <si>
    <t xml:space="preserve">¿Cuánto vale cada parte si 1 partes valen 4?</t>
  </si>
  <si>
    <t xml:space="preserve">Una parte × 2 partes = total.</t>
  </si>
  <si>
    <t xml:space="preserve">Tomar el dato como el total de la clase.</t>
  </si>
  <si>
    <t xml:space="preserve">M3-N1-11</t>
  </si>
  <si>
    <t xml:space="preserve">1/4 de los alumnos de una clase son niñas y hay 5 niñas. ¿Cuántos alumnos hay en la clase?</t>
  </si>
  <si>
    <t xml:space="preserve">5 ÷ 1 × 4</t>
  </si>
  <si>
    <t xml:space="preserve">Barra en 4 partes; 1 valen 5; el total '?'.</t>
  </si>
  <si>
    <t xml:space="preserve">¿Cuánto vale cada parte si 1 partes valen 5?</t>
  </si>
  <si>
    <t xml:space="preserve">Una parte × 4 partes = total.</t>
  </si>
  <si>
    <t xml:space="preserve">M3-N1-12</t>
  </si>
  <si>
    <t xml:space="preserve">3/4 de los alumnos de una clase son niñas y hay 6 niñas. ¿Cuántos alumnos hay en la clase?</t>
  </si>
  <si>
    <t xml:space="preserve">6 ÷ 3 × 4</t>
  </si>
  <si>
    <t xml:space="preserve">Barra en 4 partes; 3 valen 6; el total '?'.</t>
  </si>
  <si>
    <t xml:space="preserve">¿Cuánto vale cada parte si 3 partes valen 6?</t>
  </si>
  <si>
    <t xml:space="preserve">M3-N2-01</t>
  </si>
  <si>
    <t xml:space="preserve">9-10</t>
  </si>
  <si>
    <t xml:space="preserve">Hay 20 libros; 3/5 son rojos. ¿Cuántos son rojos?</t>
  </si>
  <si>
    <t xml:space="preserve">20 ÷ 5 × 3</t>
  </si>
  <si>
    <t xml:space="preserve">Barra de 20 dividida en 5 partes iguales; se sombrean 3 y '?' marca su valor.</t>
  </si>
  <si>
    <t xml:space="preserve">M3-N2-02</t>
  </si>
  <si>
    <t xml:space="preserve">Hay 24 globos; 2/8 son rojos. ¿Cuántos son rojos?</t>
  </si>
  <si>
    <t xml:space="preserve">24 ÷ 8 × 2</t>
  </si>
  <si>
    <t xml:space="preserve">Barra de 24 dividida en 8 partes iguales; se sombrean 2 y '?' marca su valor.</t>
  </si>
  <si>
    <t xml:space="preserve">Calcula cuánto vale una parte y toma 2.</t>
  </si>
  <si>
    <t xml:space="preserve">M3-N2-03</t>
  </si>
  <si>
    <t xml:space="preserve">Hay 24 cromos; 2/8 son rojos. ¿Cuántos son rojos?</t>
  </si>
  <si>
    <t xml:space="preserve">M3-N2-04</t>
  </si>
  <si>
    <t xml:space="preserve">Leo tenía 32 euros y gastó 2/8. ¿Cuántos euros le quedan?</t>
  </si>
  <si>
    <t xml:space="preserve">32 - (32 ÷ 8 × 2)</t>
  </si>
  <si>
    <t xml:space="preserve">Barra de 32 en 8 partes; 2 sombreadas (gastado); el resto '?'.</t>
  </si>
  <si>
    <t xml:space="preserve">M3-N2-05</t>
  </si>
  <si>
    <t xml:space="preserve">Hugo tenía 64 euros y gastó 6/8. ¿Cuántos euros le quedan?</t>
  </si>
  <si>
    <t xml:space="preserve">64 - (64 ÷ 8 × 6)</t>
  </si>
  <si>
    <t xml:space="preserve">Barra de 64 en 8 partes; 6 sombreadas (gastado); el resto '?'.</t>
  </si>
  <si>
    <t xml:space="preserve">M3-N2-06</t>
  </si>
  <si>
    <t xml:space="preserve">Julia tenía 15 euros y gastó 2/5. ¿Cuántos euros le quedan?</t>
  </si>
  <si>
    <t xml:space="preserve">15 - (15 ÷ 5 × 2)</t>
  </si>
  <si>
    <t xml:space="preserve">Barra de 15 en 5 partes; 2 sombreadas (gastado); el resto '?'.</t>
  </si>
  <si>
    <t xml:space="preserve">M3-N2-07</t>
  </si>
  <si>
    <t xml:space="preserve">Un cuento tiene 45 páginas y Julia ya leyó 1/5. ¿Cuántas páginas le faltan?</t>
  </si>
  <si>
    <t xml:space="preserve">45 - (45 ÷ 5)</t>
  </si>
  <si>
    <t xml:space="preserve">Barra de 45 en 5 partes; 1 leída; las demás '?'.</t>
  </si>
  <si>
    <t xml:space="preserve">Faltan 4 de 5 partes: halla una parte y multiplica.</t>
  </si>
  <si>
    <t xml:space="preserve">M3-N2-08</t>
  </si>
  <si>
    <t xml:space="preserve">Un cuento tiene 27 páginas y Carla ya leyó 1/3. ¿Cuántas páginas le faltan?</t>
  </si>
  <si>
    <t xml:space="preserve">27 - (27 ÷ 3)</t>
  </si>
  <si>
    <t xml:space="preserve">Barra de 27 en 3 partes; 1 leída; las demás '?'.</t>
  </si>
  <si>
    <t xml:space="preserve">Faltan 2 de 3 partes: halla una parte y multiplica.</t>
  </si>
  <si>
    <t xml:space="preserve">M3-N2-09</t>
  </si>
  <si>
    <t xml:space="preserve">Un cuento tiene 15 páginas y Lola ya leyó 1/3. ¿Cuántas páginas le faltan?</t>
  </si>
  <si>
    <t xml:space="preserve">15 - (15 ÷ 3)</t>
  </si>
  <si>
    <t xml:space="preserve">Barra de 15 en 3 partes; 1 leída; las demás '?'.</t>
  </si>
  <si>
    <t xml:space="preserve">M3-N2-10</t>
  </si>
  <si>
    <t xml:space="preserve">2/8 de los alumnos de una clase son niñas y hay 18 niñas. ¿Cuántos alumnos hay en la clase?</t>
  </si>
  <si>
    <t xml:space="preserve">18 ÷ 2 × 8</t>
  </si>
  <si>
    <t xml:space="preserve">Barra en 8 partes; 2 valen 18; el total '?'.</t>
  </si>
  <si>
    <t xml:space="preserve">¿Cuánto vale cada parte si 2 partes valen 18?</t>
  </si>
  <si>
    <t xml:space="preserve">Una parte × 8 partes = total.</t>
  </si>
  <si>
    <t xml:space="preserve">M3-N2-11</t>
  </si>
  <si>
    <t xml:space="preserve">2/3 de los alumnos de una clase son niñas y hay 6 niñas. ¿Cuántos alumnos hay en la clase?</t>
  </si>
  <si>
    <t xml:space="preserve">6 ÷ 2 × 3</t>
  </si>
  <si>
    <t xml:space="preserve">Barra en 3 partes; 2 valen 6; el total '?'.</t>
  </si>
  <si>
    <t xml:space="preserve">¿Cuánto vale cada parte si 2 partes valen 6?</t>
  </si>
  <si>
    <t xml:space="preserve">Una parte × 3 partes = total.</t>
  </si>
  <si>
    <t xml:space="preserve">M3-N2-12</t>
  </si>
  <si>
    <t xml:space="preserve">1/5 de los alumnos de una clase son niñas y hay 7 niñas. ¿Cuántos alumnos hay en la clase?</t>
  </si>
  <si>
    <t xml:space="preserve">7 ÷ 1 × 5</t>
  </si>
  <si>
    <t xml:space="preserve">Barra en 5 partes; 1 valen 7; el total '?'.</t>
  </si>
  <si>
    <t xml:space="preserve">¿Cuánto vale cada parte si 1 partes valen 7?</t>
  </si>
  <si>
    <t xml:space="preserve">Una parte × 5 partes = total.</t>
  </si>
  <si>
    <t xml:space="preserve">M3-N3-01</t>
  </si>
  <si>
    <t xml:space="preserve">10-11</t>
  </si>
  <si>
    <t xml:space="preserve">Hay 84 juguetes; 5/7 son rojos. ¿Cuántos son rojos?</t>
  </si>
  <si>
    <t xml:space="preserve">84 ÷ 7 × 5</t>
  </si>
  <si>
    <t xml:space="preserve">Barra de 84 dividida en 7 partes iguales; se sombrean 5 y '?' marca su valor.</t>
  </si>
  <si>
    <t xml:space="preserve">Calcula cuánto vale una parte y toma 5.</t>
  </si>
  <si>
    <t xml:space="preserve">M3-N3-02</t>
  </si>
  <si>
    <t xml:space="preserve">Hay 81 caramelos; 6/9 son rojos. ¿Cuántos son rojos?</t>
  </si>
  <si>
    <t xml:space="preserve">81 ÷ 9 × 6</t>
  </si>
  <si>
    <t xml:space="preserve">Barra de 81 dividida en 9 partes iguales; se sombrean 6 y '?' marca su valor.</t>
  </si>
  <si>
    <t xml:space="preserve">Calcula cuánto vale una parte y toma 6.</t>
  </si>
  <si>
    <t xml:space="preserve">M3-N3-03</t>
  </si>
  <si>
    <t xml:space="preserve">Hay 24 lápices; 4/6 son rojos. ¿Cuántos son rojos?</t>
  </si>
  <si>
    <t xml:space="preserve">24 ÷ 6 × 4</t>
  </si>
  <si>
    <t xml:space="preserve">Barra de 24 dividida en 6 partes iguales; se sombrean 4 y '?' marca su valor.</t>
  </si>
  <si>
    <t xml:space="preserve">Calcula cuánto vale una parte y toma 4.</t>
  </si>
  <si>
    <t xml:space="preserve">M3-N3-04</t>
  </si>
  <si>
    <t xml:space="preserve">Carla tenía 42 euros y gastó 2/6. ¿Cuántos euros le quedan?</t>
  </si>
  <si>
    <t xml:space="preserve">42 - (42 ÷ 6 × 2)</t>
  </si>
  <si>
    <t xml:space="preserve">Barra de 42 en 6 partes; 2 sombreadas (gastado); el resto '?'.</t>
  </si>
  <si>
    <t xml:space="preserve">M3-N3-05</t>
  </si>
  <si>
    <t xml:space="preserve">Pedro tenía 90 euros y gastó 5/10. ¿Cuántos euros le quedan?</t>
  </si>
  <si>
    <t xml:space="preserve">90 - (90 ÷ 10 × 5)</t>
  </si>
  <si>
    <t xml:space="preserve">Barra de 90 en 10 partes; 5 sombreadas (gastado); el resto '?'.</t>
  </si>
  <si>
    <t xml:space="preserve">M3-N3-06</t>
  </si>
  <si>
    <t xml:space="preserve">Tomás tenía 63 euros y gastó 8/9. ¿Cuántos euros le quedan?</t>
  </si>
  <si>
    <t xml:space="preserve">63 - (63 ÷ 9 × 8)</t>
  </si>
  <si>
    <t xml:space="preserve">Barra de 63 en 9 partes; 8 sombreadas (gastado); el resto '?'.</t>
  </si>
  <si>
    <t xml:space="preserve">M3-N3-07</t>
  </si>
  <si>
    <t xml:space="preserve">Un cuento tiene 120 páginas y Dani ya leyó 1/10. ¿Cuántas páginas le faltan?</t>
  </si>
  <si>
    <t xml:space="preserve">120 - (120 ÷ 10)</t>
  </si>
  <si>
    <t xml:space="preserve">Barra de 120 en 10 partes; 1 leída; las demás '?'.</t>
  </si>
  <si>
    <t xml:space="preserve">Faltan 9 de 10 partes: halla una parte y multiplica.</t>
  </si>
  <si>
    <t xml:space="preserve">M3-N3-08</t>
  </si>
  <si>
    <t xml:space="preserve">Un cuento tiene 63 páginas y Marta ya leyó 1/9. ¿Cuántas páginas le faltan?</t>
  </si>
  <si>
    <t xml:space="preserve">63 - (63 ÷ 9)</t>
  </si>
  <si>
    <t xml:space="preserve">Barra de 63 en 9 partes; 1 leída; las demás '?'.</t>
  </si>
  <si>
    <t xml:space="preserve">Faltan 8 de 9 partes: halla una parte y multiplica.</t>
  </si>
  <si>
    <t xml:space="preserve">M3-N3-09</t>
  </si>
  <si>
    <t xml:space="preserve">Un cuento tiene 60 páginas y Dani ya leyó 1/10. ¿Cuántas páginas le faltan?</t>
  </si>
  <si>
    <t xml:space="preserve">60 - (60 ÷ 10)</t>
  </si>
  <si>
    <t xml:space="preserve">Barra de 60 en 10 partes; 1 leída; las demás '?'.</t>
  </si>
  <si>
    <t xml:space="preserve">M3-N3-10</t>
  </si>
  <si>
    <t xml:space="preserve">1/9 de los alumnos de una clase son niñas y hay 12 niñas. ¿Cuántos alumnos hay en la clase?</t>
  </si>
  <si>
    <t xml:space="preserve">12 ÷ 1 × 9</t>
  </si>
  <si>
    <t xml:space="preserve">Barra en 9 partes; 1 valen 12; el total '?'.</t>
  </si>
  <si>
    <t xml:space="preserve">¿Cuánto vale cada parte si 1 partes valen 12?</t>
  </si>
  <si>
    <t xml:space="preserve">Una parte × 9 partes = total.</t>
  </si>
  <si>
    <t xml:space="preserve">M3-N3-11</t>
  </si>
  <si>
    <t xml:space="preserve">5/7 de los alumnos de una clase son niñas y hay 25 niñas. ¿Cuántos alumnos hay en la clase?</t>
  </si>
  <si>
    <t xml:space="preserve">25 ÷ 5 × 7</t>
  </si>
  <si>
    <t xml:space="preserve">Barra en 7 partes; 5 valen 25; el total '?'.</t>
  </si>
  <si>
    <t xml:space="preserve">¿Cuánto vale cada parte si 5 partes valen 25?</t>
  </si>
  <si>
    <t xml:space="preserve">Una parte × 7 partes = total.</t>
  </si>
  <si>
    <t xml:space="preserve">M3-N3-12</t>
  </si>
  <si>
    <t xml:space="preserve">2/9 de los alumnos de una clase son niñas y hay 12 niñas. ¿Cuántos alumnos hay en la clase?</t>
  </si>
  <si>
    <t xml:space="preserve">12 ÷ 2 × 9</t>
  </si>
  <si>
    <t xml:space="preserve">Barra en 9 partes; 2 valen 12; el total '?'.</t>
  </si>
  <si>
    <t xml:space="preserve">¿Cuánto vale cada parte si 2 partes valen 12?</t>
  </si>
  <si>
    <t xml:space="preserve">M4-N1-01</t>
  </si>
  <si>
    <t xml:space="preserve">Multiplicar y dividir</t>
  </si>
  <si>
    <t xml:space="preserve">8</t>
  </si>
  <si>
    <t xml:space="preserve">Parte-todo (grupos iguales)</t>
  </si>
  <si>
    <t xml:space="preserve">Cada bolsa tiene 2 globos. ¿Cuántos hay en 3 bolsas?</t>
  </si>
  <si>
    <t xml:space="preserve">2 × 3</t>
  </si>
  <si>
    <t xml:space="preserve">3 bloques iguales de 2 en una barra; '?' sobre el total.</t>
  </si>
  <si>
    <t xml:space="preserve">¿Cuántos bloques iguales hay?</t>
  </si>
  <si>
    <t xml:space="preserve">3 grupos de 2: se repite la suma.</t>
  </si>
  <si>
    <t xml:space="preserve">M4-N1-02</t>
  </si>
  <si>
    <t xml:space="preserve">Cada bolsa tiene 2 caramelos. ¿Cuántos hay en 5 bolsas?</t>
  </si>
  <si>
    <t xml:space="preserve">2 × 5</t>
  </si>
  <si>
    <t xml:space="preserve">5 bloques iguales de 2 en una barra; '?' sobre el total.</t>
  </si>
  <si>
    <t xml:space="preserve">5 grupos de 2: se repite la suma.</t>
  </si>
  <si>
    <t xml:space="preserve">M4-N1-03</t>
  </si>
  <si>
    <t xml:space="preserve">Cada bolsa tiene 3 juguetes. ¿Cuántos hay en 2 bolsas?</t>
  </si>
  <si>
    <t xml:space="preserve">3 × 2</t>
  </si>
  <si>
    <t xml:space="preserve">2 bloques iguales de 3 en una barra; '?' sobre el total.</t>
  </si>
  <si>
    <t xml:space="preserve">2 grupos de 3: se repite la suma.</t>
  </si>
  <si>
    <t xml:space="preserve">M4-N1-04</t>
  </si>
  <si>
    <t xml:space="preserve">Parte-todo (reparto)</t>
  </si>
  <si>
    <t xml:space="preserve">20 globos se reparten en 4 cajas iguales. ¿Cuántos van en cada caja?</t>
  </si>
  <si>
    <t xml:space="preserve">20 ÷ 4</t>
  </si>
  <si>
    <t xml:space="preserve">Barra de 20 dividida en 4 partes iguales; '?' en una parte.</t>
  </si>
  <si>
    <t xml:space="preserve">El total entre el número de partes.</t>
  </si>
  <si>
    <t xml:space="preserve">Multiplicar en lugar de dividir.</t>
  </si>
  <si>
    <t xml:space="preserve">M4-N1-05</t>
  </si>
  <si>
    <t xml:space="preserve">6 globos se reparten en 3 cajas iguales. ¿Cuántos van en cada caja?</t>
  </si>
  <si>
    <t xml:space="preserve">6 ÷ 3</t>
  </si>
  <si>
    <t xml:space="preserve">Barra de 6 dividida en 3 partes iguales; '?' en una parte.</t>
  </si>
  <si>
    <t xml:space="preserve">M4-N1-06</t>
  </si>
  <si>
    <t xml:space="preserve">16 lápices se reparten en 4 cajas iguales. ¿Cuántos van en cada caja?</t>
  </si>
  <si>
    <t xml:space="preserve">16 ÷ 4</t>
  </si>
  <si>
    <t xml:space="preserve">Barra de 16 dividida en 4 partes iguales; '?' en una parte.</t>
  </si>
  <si>
    <t xml:space="preserve">M4-N1-07</t>
  </si>
  <si>
    <t xml:space="preserve">Comparación (veces)</t>
  </si>
  <si>
    <t xml:space="preserve">Julia tiene 5 veces los caramelos de Tomás. Tomás tiene 2. ¿Cuántos tienen entre los dos?</t>
  </si>
  <si>
    <t xml:space="preserve">2 + (2 × 5)</t>
  </si>
  <si>
    <t xml:space="preserve">Barra de Tomás = 1 bloque de 2; barra de Julia = 5 bloques; llave '?' sobre ambas.</t>
  </si>
  <si>
    <t xml:space="preserve">¿Cuántos bloques de 2 tiene Julia?</t>
  </si>
  <si>
    <t xml:space="preserve">Total: 5 + 1 bloques de 2.</t>
  </si>
  <si>
    <t xml:space="preserve">Calcular solo lo de Julia.</t>
  </si>
  <si>
    <t xml:space="preserve">M4-N1-08</t>
  </si>
  <si>
    <t xml:space="preserve">Marta tiene 2 veces los caramelos de Tomás. Tomás tiene 3. ¿Cuántos tienen entre los dos?</t>
  </si>
  <si>
    <t xml:space="preserve">3 + (3 × 2)</t>
  </si>
  <si>
    <t xml:space="preserve">Barra de Tomás = 1 bloque de 3; barra de Marta = 2 bloques; llave '?' sobre ambas.</t>
  </si>
  <si>
    <t xml:space="preserve">¿Cuántos bloques de 3 tiene Marta?</t>
  </si>
  <si>
    <t xml:space="preserve">Total: 2 + 1 bloques de 3.</t>
  </si>
  <si>
    <t xml:space="preserve">Calcular solo lo de Marta.</t>
  </si>
  <si>
    <t xml:space="preserve">M4-N1-09</t>
  </si>
  <si>
    <t xml:space="preserve">Ana tiene 3 veces los caramelos de Leo. Leo tiene 3. ¿Cuántos tienen entre los dos?</t>
  </si>
  <si>
    <t xml:space="preserve">3 + (3 × 3)</t>
  </si>
  <si>
    <t xml:space="preserve">Barra de Leo = 1 bloque de 3; barra de Ana = 3 bloques; llave '?' sobre ambas.</t>
  </si>
  <si>
    <t xml:space="preserve">¿Cuántos bloques de 3 tiene Ana?</t>
  </si>
  <si>
    <t xml:space="preserve">Total: 3 + 1 bloques de 3.</t>
  </si>
  <si>
    <t xml:space="preserve">Calcular solo lo de Ana.</t>
  </si>
  <si>
    <t xml:space="preserve">M4-N1-10</t>
  </si>
  <si>
    <t xml:space="preserve">Una cinta de 8 cm se corta en trozos de 2 cm. ¿Cuántos trozos salen?</t>
  </si>
  <si>
    <t xml:space="preserve">8 ÷ 2</t>
  </si>
  <si>
    <t xml:space="preserve">Barra de 8 dividida en bloques de 2; '?' cuenta los bloques.</t>
  </si>
  <si>
    <t xml:space="preserve">¿Cuántos bloques de 2 caben en la barra?</t>
  </si>
  <si>
    <t xml:space="preserve">Es una división: total entre el tamaño del trozo.</t>
  </si>
  <si>
    <t xml:space="preserve">Responder con la longitud del trozo.</t>
  </si>
  <si>
    <t xml:space="preserve">M4-N1-11</t>
  </si>
  <si>
    <t xml:space="preserve">Una cinta de 9 cm se corta en trozos de 3 cm. ¿Cuántos trozos salen?</t>
  </si>
  <si>
    <t xml:space="preserve">9 ÷ 3</t>
  </si>
  <si>
    <t xml:space="preserve">Barra de 9 dividida en bloques de 3; '?' cuenta los bloques.</t>
  </si>
  <si>
    <t xml:space="preserve">¿Cuántos bloques de 3 caben en la barra?</t>
  </si>
  <si>
    <t xml:space="preserve">M4-N1-12</t>
  </si>
  <si>
    <t xml:space="preserve">Una cinta de 6 cm se corta en trozos de 3 cm. ¿Cuántos trozos salen?</t>
  </si>
  <si>
    <t xml:space="preserve">Barra de 6 dividida en bloques de 3; '?' cuenta los bloques.</t>
  </si>
  <si>
    <t xml:space="preserve">M4-N2-01</t>
  </si>
  <si>
    <t xml:space="preserve">Cada bolsa tiene 9 libros. ¿Cuántos hay en 9 bolsas?</t>
  </si>
  <si>
    <t xml:space="preserve">9 × 9</t>
  </si>
  <si>
    <t xml:space="preserve">9 bloques iguales de 9 en una barra; '?' sobre el total.</t>
  </si>
  <si>
    <t xml:space="preserve">9 grupos de 9: se repite la suma.</t>
  </si>
  <si>
    <t xml:space="preserve">M4-N2-02</t>
  </si>
  <si>
    <t xml:space="preserve">Cada bolsa tiene 5 cromos. ¿Cuántos hay en 7 bolsas?</t>
  </si>
  <si>
    <t xml:space="preserve">5 × 7</t>
  </si>
  <si>
    <t xml:space="preserve">7 bloques iguales de 5 en una barra; '?' sobre el total.</t>
  </si>
  <si>
    <t xml:space="preserve">7 grupos de 5: se repite la suma.</t>
  </si>
  <si>
    <t xml:space="preserve">M4-N2-03</t>
  </si>
  <si>
    <t xml:space="preserve">Cada bolsa tiene 5 caramelos. ¿Cuántos hay en 6 bolsas?</t>
  </si>
  <si>
    <t xml:space="preserve">5 × 6</t>
  </si>
  <si>
    <t xml:space="preserve">6 bloques iguales de 5 en una barra; '?' sobre el total.</t>
  </si>
  <si>
    <t xml:space="preserve">6 grupos de 5: se repite la suma.</t>
  </si>
  <si>
    <t xml:space="preserve">M4-N2-04</t>
  </si>
  <si>
    <t xml:space="preserve">28 libros se reparten en 4 cajas iguales. ¿Cuántos van en cada caja?</t>
  </si>
  <si>
    <t xml:space="preserve">28 ÷ 4</t>
  </si>
  <si>
    <t xml:space="preserve">Barra de 28 dividida en 4 partes iguales; '?' en una parte.</t>
  </si>
  <si>
    <t xml:space="preserve">M4-N2-05</t>
  </si>
  <si>
    <t xml:space="preserve">35 cromos se reparten en 5 cajas iguales. ¿Cuántos van en cada caja?</t>
  </si>
  <si>
    <t xml:space="preserve">35 ÷ 5</t>
  </si>
  <si>
    <t xml:space="preserve">Barra de 35 dividida en 5 partes iguales; '?' en una parte.</t>
  </si>
  <si>
    <t xml:space="preserve">M4-N2-06</t>
  </si>
  <si>
    <t xml:space="preserve">54 juguetes se reparten en 6 cajas iguales. ¿Cuántos van en cada caja?</t>
  </si>
  <si>
    <t xml:space="preserve">54 ÷ 6</t>
  </si>
  <si>
    <t xml:space="preserve">Barra de 54 dividida en 6 partes iguales; '?' en una parte.</t>
  </si>
  <si>
    <t xml:space="preserve">M4-N2-07</t>
  </si>
  <si>
    <t xml:space="preserve">Tomás tiene 4 veces los caramelos de Julia. Julia tiene 4. ¿Cuántos tienen entre los dos?</t>
  </si>
  <si>
    <t xml:space="preserve">4 + (4 × 4)</t>
  </si>
  <si>
    <t xml:space="preserve">Barra de Julia = 1 bloque de 4; barra de Tomás = 4 bloques; llave '?' sobre ambas.</t>
  </si>
  <si>
    <t xml:space="preserve">¿Cuántos bloques de 4 tiene Tomás?</t>
  </si>
  <si>
    <t xml:space="preserve">Total: 4 + 1 bloques de 4.</t>
  </si>
  <si>
    <t xml:space="preserve">Calcular solo lo de Tomás.</t>
  </si>
  <si>
    <t xml:space="preserve">M4-N2-08</t>
  </si>
  <si>
    <t xml:space="preserve">Tomás tiene 5 veces los libros de Carla. Carla tiene 7. ¿Cuántos tienen entre los dos?</t>
  </si>
  <si>
    <t xml:space="preserve">7 + (7 × 5)</t>
  </si>
  <si>
    <t xml:space="preserve">Barra de Carla = 1 bloque de 7; barra de Tomás = 5 bloques; llave '?' sobre ambas.</t>
  </si>
  <si>
    <t xml:space="preserve">¿Cuántos bloques de 7 tiene Tomás?</t>
  </si>
  <si>
    <t xml:space="preserve">Total: 5 + 1 bloques de 7.</t>
  </si>
  <si>
    <t xml:space="preserve">M4-N2-09</t>
  </si>
  <si>
    <t xml:space="preserve">Marta tiene 5 veces los libros de Pedro. Pedro tiene 6. ¿Cuántos tienen entre los dos?</t>
  </si>
  <si>
    <t xml:space="preserve">6 + (6 × 5)</t>
  </si>
  <si>
    <t xml:space="preserve">Barra de Pedro = 1 bloque de 6; barra de Marta = 5 bloques; llave '?' sobre ambas.</t>
  </si>
  <si>
    <t xml:space="preserve">¿Cuántos bloques de 6 tiene Marta?</t>
  </si>
  <si>
    <t xml:space="preserve">Total: 5 + 1 bloques de 6.</t>
  </si>
  <si>
    <t xml:space="preserve">M4-N2-10</t>
  </si>
  <si>
    <t xml:space="preserve">Una cinta de 36 cm se corta en trozos de 4 cm. ¿Cuántos trozos salen?</t>
  </si>
  <si>
    <t xml:space="preserve">36 ÷ 4</t>
  </si>
  <si>
    <t xml:space="preserve">Barra de 36 dividida en bloques de 4; '?' cuenta los bloques.</t>
  </si>
  <si>
    <t xml:space="preserve">¿Cuántos bloques de 4 caben en la barra?</t>
  </si>
  <si>
    <t xml:space="preserve">M4-N2-11</t>
  </si>
  <si>
    <t xml:space="preserve">Una cinta de 54 cm se corta en trozos de 6 cm. ¿Cuántos trozos salen?</t>
  </si>
  <si>
    <t xml:space="preserve">Barra de 54 dividida en bloques de 6; '?' cuenta los bloques.</t>
  </si>
  <si>
    <t xml:space="preserve">¿Cuántos bloques de 6 caben en la barra?</t>
  </si>
  <si>
    <t xml:space="preserve">M4-N2-12</t>
  </si>
  <si>
    <t xml:space="preserve">Una cinta de 24 cm se corta en trozos de 4 cm. ¿Cuántos trozos salen?</t>
  </si>
  <si>
    <t xml:space="preserve">24 ÷ 4</t>
  </si>
  <si>
    <t xml:space="preserve">Barra de 24 dividida en bloques de 4; '?' cuenta los bloques.</t>
  </si>
  <si>
    <t xml:space="preserve">M4-N3-01</t>
  </si>
  <si>
    <t xml:space="preserve">11-12</t>
  </si>
  <si>
    <t xml:space="preserve">Cada bolsa tiene 8 cromos. ¿Cuántos hay en 10 bolsas?</t>
  </si>
  <si>
    <t xml:space="preserve">8 × 10</t>
  </si>
  <si>
    <t xml:space="preserve">10 bloques iguales de 8 en una barra; '?' sobre el total.</t>
  </si>
  <si>
    <t xml:space="preserve">10 grupos de 8: se repite la suma.</t>
  </si>
  <si>
    <t xml:space="preserve">M4-N3-02</t>
  </si>
  <si>
    <t xml:space="preserve">Cada bolsa tiene 11 lápices. ¿Cuántos hay en 8 bolsas?</t>
  </si>
  <si>
    <t xml:space="preserve">11 × 8</t>
  </si>
  <si>
    <t xml:space="preserve">8 bloques iguales de 11 en una barra; '?' sobre el total.</t>
  </si>
  <si>
    <t xml:space="preserve">8 grupos de 11: se repite la suma.</t>
  </si>
  <si>
    <t xml:space="preserve">M4-N3-03</t>
  </si>
  <si>
    <t xml:space="preserve">Cada bolsa tiene 14 lápices. ¿Cuántos hay en 8 bolsas?</t>
  </si>
  <si>
    <t xml:space="preserve">14 × 8</t>
  </si>
  <si>
    <t xml:space="preserve">8 bloques iguales de 14 en una barra; '?' sobre el total.</t>
  </si>
  <si>
    <t xml:space="preserve">8 grupos de 14: se repite la suma.</t>
  </si>
  <si>
    <t xml:space="preserve">M4-N3-04</t>
  </si>
  <si>
    <t xml:space="preserve">70 caramelos se reparten en 5 cajas iguales. ¿Cuántos van en cada caja?</t>
  </si>
  <si>
    <t xml:space="preserve">70 ÷ 5</t>
  </si>
  <si>
    <t xml:space="preserve">Barra de 70 dividida en 5 partes iguales; '?' en una parte.</t>
  </si>
  <si>
    <t xml:space="preserve">M4-N3-05</t>
  </si>
  <si>
    <t xml:space="preserve">130 caramelos se reparten en 10 cajas iguales. ¿Cuántos van en cada caja?</t>
  </si>
  <si>
    <t xml:space="preserve">130 ÷ 10</t>
  </si>
  <si>
    <t xml:space="preserve">Barra de 130 dividida en 10 partes iguales; '?' en una parte.</t>
  </si>
  <si>
    <t xml:space="preserve">M4-N3-06</t>
  </si>
  <si>
    <t xml:space="preserve">110 juguetes se reparten en 10 cajas iguales. ¿Cuántos van en cada caja?</t>
  </si>
  <si>
    <t xml:space="preserve">110 ÷ 10</t>
  </si>
  <si>
    <t xml:space="preserve">Barra de 110 dividida en 10 partes iguales; '?' en una parte.</t>
  </si>
  <si>
    <t xml:space="preserve">M4-N3-07</t>
  </si>
  <si>
    <t xml:space="preserve">Lola tiene 12 veces los libros de Pedro. Pedro tiene 13. ¿Cuántos tienen entre los dos?</t>
  </si>
  <si>
    <t xml:space="preserve">13 + (13 × 12)</t>
  </si>
  <si>
    <t xml:space="preserve">Barra de Pedro = 1 bloque de 13; barra de Lola = 12 bloques; llave '?' sobre ambas.</t>
  </si>
  <si>
    <t xml:space="preserve">¿Cuántos bloques de 13 tiene Lola?</t>
  </si>
  <si>
    <t xml:space="preserve">Total: 12 + 1 bloques de 13.</t>
  </si>
  <si>
    <t xml:space="preserve">Calcular solo lo de Lola.</t>
  </si>
  <si>
    <t xml:space="preserve">M4-N3-08</t>
  </si>
  <si>
    <t xml:space="preserve">Ana tiene 9 veces los juguetes de Julia. Julia tiene 11. ¿Cuántos tienen entre los dos?</t>
  </si>
  <si>
    <t xml:space="preserve">11 + (11 × 9)</t>
  </si>
  <si>
    <t xml:space="preserve">Barra de Julia = 1 bloque de 11; barra de Ana = 9 bloques; llave '?' sobre ambas.</t>
  </si>
  <si>
    <t xml:space="preserve">¿Cuántos bloques de 11 tiene Ana?</t>
  </si>
  <si>
    <t xml:space="preserve">Total: 9 + 1 bloques de 11.</t>
  </si>
  <si>
    <t xml:space="preserve">M4-N3-09</t>
  </si>
  <si>
    <t xml:space="preserve">Sofía tiene 4 veces los juguetes de Lola. Lola tiene 8. ¿Cuántos tienen entre los dos?</t>
  </si>
  <si>
    <t xml:space="preserve">8 + (8 × 4)</t>
  </si>
  <si>
    <t xml:space="preserve">Barra de Lola = 1 bloque de 8; barra de Sofía = 4 bloques; llave '?' sobre ambas.</t>
  </si>
  <si>
    <t xml:space="preserve">¿Cuántos bloques de 8 tiene Sofía?</t>
  </si>
  <si>
    <t xml:space="preserve">Total: 4 + 1 bloques de 8.</t>
  </si>
  <si>
    <t xml:space="preserve">Calcular solo lo de Sofía.</t>
  </si>
  <si>
    <t xml:space="preserve">M4-N3-10</t>
  </si>
  <si>
    <t xml:space="preserve">Una cinta de 60 cm se corta en trozos de 10 cm. ¿Cuántos trozos salen?</t>
  </si>
  <si>
    <t xml:space="preserve">60 ÷ 10</t>
  </si>
  <si>
    <t xml:space="preserve">Barra de 60 dividida en bloques de 10; '?' cuenta los bloques.</t>
  </si>
  <si>
    <t xml:space="preserve">¿Cuántos bloques de 10 caben en la barra?</t>
  </si>
  <si>
    <t xml:space="preserve">M4-N3-11</t>
  </si>
  <si>
    <t xml:space="preserve">Una cinta de 150 cm se corta en trozos de 15 cm. ¿Cuántos trozos salen?</t>
  </si>
  <si>
    <t xml:space="preserve">150 ÷ 15</t>
  </si>
  <si>
    <t xml:space="preserve">Barra de 150 dividida en bloques de 15; '?' cuenta los bloques.</t>
  </si>
  <si>
    <t xml:space="preserve">¿Cuántos bloques de 15 caben en la barra?</t>
  </si>
  <si>
    <t xml:space="preserve">M4-N3-12</t>
  </si>
  <si>
    <t xml:space="preserve">Una cinta de 24 cm se corta en trozos de 6 cm. ¿Cuántos trozos salen?</t>
  </si>
  <si>
    <t xml:space="preserve">24 ÷ 6</t>
  </si>
  <si>
    <t xml:space="preserve">Barra de 24 dividida en bloques de 6; '?' cuenta los bloques.</t>
  </si>
  <si>
    <t xml:space="preserve">Nivel 1</t>
  </si>
  <si>
    <t xml:space="preserve">Nivel 2</t>
  </si>
  <si>
    <t xml:space="preserve">Nivel 3</t>
  </si>
  <si>
    <t xml:space="preserve">Total</t>
  </si>
  <si>
    <t xml:space="preserve">Banco de problemas de Barri (método Singapur, modelo de barras)</t>
  </si>
  <si>
    <t xml:space="preserve">Texto azul en Dato 1-3: valores de entrada. La columna Respuesta se calcula con fórmula a partir de ellos.</t>
  </si>
  <si>
    <t xml:space="preserve">Si cambias un dato, actualiza a mano también el enunciado, la operación y el modelo de barras (son texto).</t>
  </si>
  <si>
    <t xml:space="preserve">Dato 3 solo se usa en fracciones (numerador). En fracciones: Dato 1 = total (o parte conocida), Dato 2 = denominador.</t>
  </si>
  <si>
    <t xml:space="preserve">Los problemas se generaron a partir de plantillas con nombres y números variados; conviene revisarlos con el grupo antes de usarlos.</t>
  </si>
  <si>
    <t xml:space="preserve">Edad sugerida y niveles son orientativos.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</si>
</sst>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52"/>
    <col collapsed="false" customWidth="true" hidden="false" outlineLevel="0" max="9" min="7" style="0" width="8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48"/>
    <col collapsed="false" customWidth="true" hidden="false" outlineLevel="0" max="14" min="13" style="0" width="34"/>
    <col collapsed="false" customWidth="true" hidden="false" outlineLevel="0" max="15" min="15" style="0" width="3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2" t="s">
        <v>16</v>
      </c>
      <c r="C2" s="2" t="n">
        <v>1</v>
      </c>
      <c r="D2" s="2" t="s">
        <v>17</v>
      </c>
      <c r="E2" s="2" t="s">
        <v>18</v>
      </c>
      <c r="F2" s="2" t="s">
        <v>19</v>
      </c>
      <c r="G2" s="3" t="n">
        <v>10</v>
      </c>
      <c r="H2" s="3" t="n">
        <v>2</v>
      </c>
      <c r="I2" s="3"/>
      <c r="J2" s="2" t="n">
        <f aca="false">G2+H2</f>
        <v>12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customFormat="false" ht="23.85" hidden="false" customHeight="false" outlineLevel="0" collapsed="false">
      <c r="A3" s="2" t="s">
        <v>25</v>
      </c>
      <c r="B3" s="2" t="s">
        <v>16</v>
      </c>
      <c r="C3" s="2" t="n">
        <v>1</v>
      </c>
      <c r="D3" s="2" t="s">
        <v>17</v>
      </c>
      <c r="E3" s="2" t="s">
        <v>18</v>
      </c>
      <c r="F3" s="2" t="s">
        <v>26</v>
      </c>
      <c r="G3" s="3" t="n">
        <v>10</v>
      </c>
      <c r="H3" s="3" t="n">
        <v>5</v>
      </c>
      <c r="I3" s="3"/>
      <c r="J3" s="2" t="n">
        <f aca="false">G3+H3</f>
        <v>15</v>
      </c>
      <c r="K3" s="2" t="s">
        <v>27</v>
      </c>
      <c r="L3" s="2" t="s">
        <v>28</v>
      </c>
      <c r="M3" s="2" t="s">
        <v>22</v>
      </c>
      <c r="N3" s="2" t="s">
        <v>29</v>
      </c>
      <c r="O3" s="2" t="s">
        <v>30</v>
      </c>
    </row>
    <row r="4" customFormat="false" ht="23.85" hidden="false" customHeight="false" outlineLevel="0" collapsed="false">
      <c r="A4" s="2" t="s">
        <v>31</v>
      </c>
      <c r="B4" s="2" t="s">
        <v>16</v>
      </c>
      <c r="C4" s="2" t="n">
        <v>1</v>
      </c>
      <c r="D4" s="2" t="s">
        <v>17</v>
      </c>
      <c r="E4" s="2" t="s">
        <v>18</v>
      </c>
      <c r="F4" s="2" t="s">
        <v>32</v>
      </c>
      <c r="G4" s="3" t="n">
        <v>12</v>
      </c>
      <c r="H4" s="3" t="n">
        <v>5</v>
      </c>
      <c r="I4" s="3"/>
      <c r="J4" s="2" t="n">
        <f aca="false">G4+H4</f>
        <v>17</v>
      </c>
      <c r="K4" s="2" t="s">
        <v>33</v>
      </c>
      <c r="L4" s="2" t="s">
        <v>34</v>
      </c>
      <c r="M4" s="2" t="s">
        <v>22</v>
      </c>
      <c r="N4" s="2" t="s">
        <v>35</v>
      </c>
      <c r="O4" s="2" t="s">
        <v>36</v>
      </c>
    </row>
    <row r="5" customFormat="false" ht="23.85" hidden="false" customHeight="false" outlineLevel="0" collapsed="false">
      <c r="A5" s="2" t="s">
        <v>37</v>
      </c>
      <c r="B5" s="2" t="s">
        <v>16</v>
      </c>
      <c r="C5" s="2" t="n">
        <v>1</v>
      </c>
      <c r="D5" s="2" t="s">
        <v>17</v>
      </c>
      <c r="E5" s="2" t="s">
        <v>18</v>
      </c>
      <c r="F5" s="2" t="s">
        <v>38</v>
      </c>
      <c r="G5" s="3" t="n">
        <v>7</v>
      </c>
      <c r="H5" s="3" t="n">
        <v>2</v>
      </c>
      <c r="I5" s="3"/>
      <c r="J5" s="2" t="n">
        <f aca="false">G5-H5</f>
        <v>5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</row>
    <row r="6" customFormat="false" ht="23.85" hidden="false" customHeight="false" outlineLevel="0" collapsed="false">
      <c r="A6" s="2" t="s">
        <v>44</v>
      </c>
      <c r="B6" s="2" t="s">
        <v>16</v>
      </c>
      <c r="C6" s="2" t="n">
        <v>1</v>
      </c>
      <c r="D6" s="2" t="s">
        <v>17</v>
      </c>
      <c r="E6" s="2" t="s">
        <v>18</v>
      </c>
      <c r="F6" s="2" t="s">
        <v>45</v>
      </c>
      <c r="G6" s="3" t="n">
        <v>6</v>
      </c>
      <c r="H6" s="3" t="n">
        <v>4</v>
      </c>
      <c r="I6" s="3"/>
      <c r="J6" s="2" t="n">
        <f aca="false">G6-H6</f>
        <v>2</v>
      </c>
      <c r="K6" s="2" t="s">
        <v>46</v>
      </c>
      <c r="L6" s="2" t="s">
        <v>47</v>
      </c>
      <c r="M6" s="2" t="s">
        <v>41</v>
      </c>
      <c r="N6" s="2" t="s">
        <v>48</v>
      </c>
      <c r="O6" s="2" t="s">
        <v>43</v>
      </c>
    </row>
    <row r="7" customFormat="false" ht="23.85" hidden="false" customHeight="false" outlineLevel="0" collapsed="false">
      <c r="A7" s="2" t="s">
        <v>49</v>
      </c>
      <c r="B7" s="2" t="s">
        <v>16</v>
      </c>
      <c r="C7" s="2" t="n">
        <v>1</v>
      </c>
      <c r="D7" s="2" t="s">
        <v>17</v>
      </c>
      <c r="E7" s="2" t="s">
        <v>18</v>
      </c>
      <c r="F7" s="2" t="s">
        <v>50</v>
      </c>
      <c r="G7" s="3" t="n">
        <v>6</v>
      </c>
      <c r="H7" s="3" t="n">
        <v>5</v>
      </c>
      <c r="I7" s="3"/>
      <c r="J7" s="2" t="n">
        <f aca="false">G7-H7</f>
        <v>1</v>
      </c>
      <c r="K7" s="2" t="s">
        <v>51</v>
      </c>
      <c r="L7" s="2" t="s">
        <v>52</v>
      </c>
      <c r="M7" s="2" t="s">
        <v>41</v>
      </c>
      <c r="N7" s="2" t="s">
        <v>53</v>
      </c>
      <c r="O7" s="2" t="s">
        <v>43</v>
      </c>
    </row>
    <row r="8" customFormat="false" ht="23.85" hidden="false" customHeight="false" outlineLevel="0" collapsed="false">
      <c r="A8" s="2" t="s">
        <v>54</v>
      </c>
      <c r="B8" s="2" t="s">
        <v>16</v>
      </c>
      <c r="C8" s="2" t="n">
        <v>1</v>
      </c>
      <c r="D8" s="2" t="s">
        <v>17</v>
      </c>
      <c r="E8" s="2" t="s">
        <v>18</v>
      </c>
      <c r="F8" s="2" t="s">
        <v>55</v>
      </c>
      <c r="G8" s="3" t="n">
        <v>7</v>
      </c>
      <c r="H8" s="3" t="n">
        <v>5</v>
      </c>
      <c r="I8" s="3"/>
      <c r="J8" s="2" t="n">
        <f aca="false">G8-H8</f>
        <v>2</v>
      </c>
      <c r="K8" s="2" t="s">
        <v>56</v>
      </c>
      <c r="L8" s="2" t="s">
        <v>57</v>
      </c>
      <c r="M8" s="2" t="s">
        <v>58</v>
      </c>
      <c r="N8" s="2" t="s">
        <v>59</v>
      </c>
      <c r="O8" s="2" t="s">
        <v>60</v>
      </c>
    </row>
    <row r="9" customFormat="false" ht="23.85" hidden="false" customHeight="false" outlineLevel="0" collapsed="false">
      <c r="A9" s="2" t="s">
        <v>61</v>
      </c>
      <c r="B9" s="2" t="s">
        <v>16</v>
      </c>
      <c r="C9" s="2" t="n">
        <v>1</v>
      </c>
      <c r="D9" s="2" t="s">
        <v>17</v>
      </c>
      <c r="E9" s="2" t="s">
        <v>18</v>
      </c>
      <c r="F9" s="2" t="s">
        <v>62</v>
      </c>
      <c r="G9" s="3" t="n">
        <v>8</v>
      </c>
      <c r="H9" s="3" t="n">
        <v>5</v>
      </c>
      <c r="I9" s="3"/>
      <c r="J9" s="2" t="n">
        <f aca="false">G9-H9</f>
        <v>3</v>
      </c>
      <c r="K9" s="2" t="s">
        <v>63</v>
      </c>
      <c r="L9" s="2" t="s">
        <v>64</v>
      </c>
      <c r="M9" s="2" t="s">
        <v>58</v>
      </c>
      <c r="N9" s="2" t="s">
        <v>59</v>
      </c>
      <c r="O9" s="2" t="s">
        <v>60</v>
      </c>
    </row>
    <row r="10" customFormat="false" ht="23.85" hidden="false" customHeight="false" outlineLevel="0" collapsed="false">
      <c r="A10" s="2" t="s">
        <v>65</v>
      </c>
      <c r="B10" s="2" t="s">
        <v>16</v>
      </c>
      <c r="C10" s="2" t="n">
        <v>1</v>
      </c>
      <c r="D10" s="2" t="s">
        <v>17</v>
      </c>
      <c r="E10" s="2" t="s">
        <v>18</v>
      </c>
      <c r="F10" s="2" t="s">
        <v>66</v>
      </c>
      <c r="G10" s="3" t="n">
        <v>11</v>
      </c>
      <c r="H10" s="3" t="n">
        <v>2</v>
      </c>
      <c r="I10" s="3"/>
      <c r="J10" s="2" t="n">
        <f aca="false">G10-H10</f>
        <v>9</v>
      </c>
      <c r="K10" s="2" t="s">
        <v>67</v>
      </c>
      <c r="L10" s="2" t="s">
        <v>68</v>
      </c>
      <c r="M10" s="2" t="s">
        <v>58</v>
      </c>
      <c r="N10" s="2" t="s">
        <v>59</v>
      </c>
      <c r="O10" s="2" t="s">
        <v>60</v>
      </c>
    </row>
    <row r="11" customFormat="false" ht="23.85" hidden="false" customHeight="false" outlineLevel="0" collapsed="false">
      <c r="A11" s="2" t="s">
        <v>69</v>
      </c>
      <c r="B11" s="2" t="s">
        <v>16</v>
      </c>
      <c r="C11" s="2" t="n">
        <v>1</v>
      </c>
      <c r="D11" s="2" t="s">
        <v>17</v>
      </c>
      <c r="E11" s="2" t="s">
        <v>18</v>
      </c>
      <c r="F11" s="2" t="s">
        <v>70</v>
      </c>
      <c r="G11" s="3" t="n">
        <v>6</v>
      </c>
      <c r="H11" s="3" t="n">
        <v>4</v>
      </c>
      <c r="I11" s="3"/>
      <c r="J11" s="2" t="n">
        <f aca="false">G11-H11</f>
        <v>2</v>
      </c>
      <c r="K11" s="2" t="s">
        <v>46</v>
      </c>
      <c r="L11" s="2" t="s">
        <v>71</v>
      </c>
      <c r="M11" s="2" t="s">
        <v>72</v>
      </c>
      <c r="N11" s="2" t="s">
        <v>73</v>
      </c>
      <c r="O11" s="2" t="s">
        <v>74</v>
      </c>
    </row>
    <row r="12" customFormat="false" ht="23.85" hidden="false" customHeight="false" outlineLevel="0" collapsed="false">
      <c r="A12" s="2" t="s">
        <v>75</v>
      </c>
      <c r="B12" s="2" t="s">
        <v>16</v>
      </c>
      <c r="C12" s="2" t="n">
        <v>1</v>
      </c>
      <c r="D12" s="2" t="s">
        <v>17</v>
      </c>
      <c r="E12" s="2" t="s">
        <v>18</v>
      </c>
      <c r="F12" s="2" t="s">
        <v>76</v>
      </c>
      <c r="G12" s="3" t="n">
        <v>7</v>
      </c>
      <c r="H12" s="3" t="n">
        <v>4</v>
      </c>
      <c r="I12" s="3"/>
      <c r="J12" s="2" t="n">
        <f aca="false">G12-H12</f>
        <v>3</v>
      </c>
      <c r="K12" s="2" t="s">
        <v>77</v>
      </c>
      <c r="L12" s="2" t="s">
        <v>78</v>
      </c>
      <c r="M12" s="2" t="s">
        <v>72</v>
      </c>
      <c r="N12" s="2" t="s">
        <v>73</v>
      </c>
      <c r="O12" s="2" t="s">
        <v>74</v>
      </c>
    </row>
    <row r="13" customFormat="false" ht="23.85" hidden="false" customHeight="false" outlineLevel="0" collapsed="false">
      <c r="A13" s="2" t="s">
        <v>79</v>
      </c>
      <c r="B13" s="2" t="s">
        <v>16</v>
      </c>
      <c r="C13" s="2" t="n">
        <v>1</v>
      </c>
      <c r="D13" s="2" t="s">
        <v>17</v>
      </c>
      <c r="E13" s="2" t="s">
        <v>18</v>
      </c>
      <c r="F13" s="2" t="s">
        <v>80</v>
      </c>
      <c r="G13" s="3" t="n">
        <v>8</v>
      </c>
      <c r="H13" s="3" t="n">
        <v>4</v>
      </c>
      <c r="I13" s="3"/>
      <c r="J13" s="2" t="n">
        <f aca="false">G13-H13</f>
        <v>4</v>
      </c>
      <c r="K13" s="2" t="s">
        <v>81</v>
      </c>
      <c r="L13" s="2" t="s">
        <v>82</v>
      </c>
      <c r="M13" s="2" t="s">
        <v>72</v>
      </c>
      <c r="N13" s="2" t="s">
        <v>73</v>
      </c>
      <c r="O13" s="2" t="s">
        <v>74</v>
      </c>
    </row>
    <row r="14" customFormat="false" ht="23.85" hidden="false" customHeight="false" outlineLevel="0" collapsed="false">
      <c r="A14" s="2" t="s">
        <v>83</v>
      </c>
      <c r="B14" s="2" t="s">
        <v>16</v>
      </c>
      <c r="C14" s="2" t="n">
        <v>2</v>
      </c>
      <c r="D14" s="2" t="s">
        <v>84</v>
      </c>
      <c r="E14" s="2" t="s">
        <v>18</v>
      </c>
      <c r="F14" s="2" t="s">
        <v>85</v>
      </c>
      <c r="G14" s="3" t="n">
        <v>30</v>
      </c>
      <c r="H14" s="3" t="n">
        <v>20</v>
      </c>
      <c r="I14" s="3"/>
      <c r="J14" s="2" t="n">
        <f aca="false">G14+H14</f>
        <v>50</v>
      </c>
      <c r="K14" s="2" t="s">
        <v>86</v>
      </c>
      <c r="L14" s="2" t="s">
        <v>87</v>
      </c>
      <c r="M14" s="2" t="s">
        <v>22</v>
      </c>
      <c r="N14" s="2" t="s">
        <v>88</v>
      </c>
      <c r="O14" s="2" t="s">
        <v>89</v>
      </c>
    </row>
    <row r="15" customFormat="false" ht="23.85" hidden="false" customHeight="false" outlineLevel="0" collapsed="false">
      <c r="A15" s="2" t="s">
        <v>90</v>
      </c>
      <c r="B15" s="2" t="s">
        <v>16</v>
      </c>
      <c r="C15" s="2" t="n">
        <v>2</v>
      </c>
      <c r="D15" s="2" t="s">
        <v>84</v>
      </c>
      <c r="E15" s="2" t="s">
        <v>18</v>
      </c>
      <c r="F15" s="2" t="s">
        <v>91</v>
      </c>
      <c r="G15" s="3" t="n">
        <v>56</v>
      </c>
      <c r="H15" s="3" t="n">
        <v>11</v>
      </c>
      <c r="I15" s="3"/>
      <c r="J15" s="2" t="n">
        <f aca="false">G15+H15</f>
        <v>67</v>
      </c>
      <c r="K15" s="2" t="s">
        <v>92</v>
      </c>
      <c r="L15" s="2" t="s">
        <v>93</v>
      </c>
      <c r="M15" s="2" t="s">
        <v>22</v>
      </c>
      <c r="N15" s="2" t="s">
        <v>94</v>
      </c>
      <c r="O15" s="2" t="s">
        <v>95</v>
      </c>
    </row>
    <row r="16" customFormat="false" ht="23.85" hidden="false" customHeight="false" outlineLevel="0" collapsed="false">
      <c r="A16" s="2" t="s">
        <v>96</v>
      </c>
      <c r="B16" s="2" t="s">
        <v>16</v>
      </c>
      <c r="C16" s="2" t="n">
        <v>2</v>
      </c>
      <c r="D16" s="2" t="s">
        <v>84</v>
      </c>
      <c r="E16" s="2" t="s">
        <v>18</v>
      </c>
      <c r="F16" s="2" t="s">
        <v>97</v>
      </c>
      <c r="G16" s="3" t="n">
        <v>56</v>
      </c>
      <c r="H16" s="3" t="n">
        <v>20</v>
      </c>
      <c r="I16" s="3"/>
      <c r="J16" s="2" t="n">
        <f aca="false">G16+H16</f>
        <v>76</v>
      </c>
      <c r="K16" s="2" t="s">
        <v>98</v>
      </c>
      <c r="L16" s="2" t="s">
        <v>99</v>
      </c>
      <c r="M16" s="2" t="s">
        <v>22</v>
      </c>
      <c r="N16" s="2" t="s">
        <v>100</v>
      </c>
      <c r="O16" s="2" t="s">
        <v>101</v>
      </c>
    </row>
    <row r="17" customFormat="false" ht="23.85" hidden="false" customHeight="false" outlineLevel="0" collapsed="false">
      <c r="A17" s="2" t="s">
        <v>102</v>
      </c>
      <c r="B17" s="2" t="s">
        <v>16</v>
      </c>
      <c r="C17" s="2" t="n">
        <v>2</v>
      </c>
      <c r="D17" s="2" t="s">
        <v>84</v>
      </c>
      <c r="E17" s="2" t="s">
        <v>18</v>
      </c>
      <c r="F17" s="2" t="s">
        <v>103</v>
      </c>
      <c r="G17" s="3" t="n">
        <v>51</v>
      </c>
      <c r="H17" s="3" t="n">
        <v>23</v>
      </c>
      <c r="I17" s="3"/>
      <c r="J17" s="2" t="n">
        <f aca="false">G17-H17</f>
        <v>28</v>
      </c>
      <c r="K17" s="2" t="s">
        <v>104</v>
      </c>
      <c r="L17" s="2" t="s">
        <v>105</v>
      </c>
      <c r="M17" s="2" t="s">
        <v>41</v>
      </c>
      <c r="N17" s="2" t="s">
        <v>106</v>
      </c>
      <c r="O17" s="2" t="s">
        <v>43</v>
      </c>
    </row>
    <row r="18" customFormat="false" ht="23.85" hidden="false" customHeight="false" outlineLevel="0" collapsed="false">
      <c r="A18" s="2" t="s">
        <v>107</v>
      </c>
      <c r="B18" s="2" t="s">
        <v>16</v>
      </c>
      <c r="C18" s="2" t="n">
        <v>2</v>
      </c>
      <c r="D18" s="2" t="s">
        <v>84</v>
      </c>
      <c r="E18" s="2" t="s">
        <v>18</v>
      </c>
      <c r="F18" s="2" t="s">
        <v>108</v>
      </c>
      <c r="G18" s="3" t="n">
        <v>26</v>
      </c>
      <c r="H18" s="3" t="n">
        <v>15</v>
      </c>
      <c r="I18" s="3"/>
      <c r="J18" s="2" t="n">
        <f aca="false">G18-H18</f>
        <v>11</v>
      </c>
      <c r="K18" s="2" t="s">
        <v>109</v>
      </c>
      <c r="L18" s="2" t="s">
        <v>110</v>
      </c>
      <c r="M18" s="2" t="s">
        <v>41</v>
      </c>
      <c r="N18" s="2" t="s">
        <v>111</v>
      </c>
      <c r="O18" s="2" t="s">
        <v>43</v>
      </c>
    </row>
    <row r="19" customFormat="false" ht="23.85" hidden="false" customHeight="false" outlineLevel="0" collapsed="false">
      <c r="A19" s="2" t="s">
        <v>112</v>
      </c>
      <c r="B19" s="2" t="s">
        <v>16</v>
      </c>
      <c r="C19" s="2" t="n">
        <v>2</v>
      </c>
      <c r="D19" s="2" t="s">
        <v>84</v>
      </c>
      <c r="E19" s="2" t="s">
        <v>18</v>
      </c>
      <c r="F19" s="2" t="s">
        <v>113</v>
      </c>
      <c r="G19" s="3" t="n">
        <v>58</v>
      </c>
      <c r="H19" s="3" t="n">
        <v>11</v>
      </c>
      <c r="I19" s="3"/>
      <c r="J19" s="2" t="n">
        <f aca="false">G19-H19</f>
        <v>47</v>
      </c>
      <c r="K19" s="2" t="s">
        <v>114</v>
      </c>
      <c r="L19" s="2" t="s">
        <v>115</v>
      </c>
      <c r="M19" s="2" t="s">
        <v>41</v>
      </c>
      <c r="N19" s="2" t="s">
        <v>116</v>
      </c>
      <c r="O19" s="2" t="s">
        <v>43</v>
      </c>
    </row>
    <row r="20" customFormat="false" ht="23.85" hidden="false" customHeight="false" outlineLevel="0" collapsed="false">
      <c r="A20" s="2" t="s">
        <v>117</v>
      </c>
      <c r="B20" s="2" t="s">
        <v>16</v>
      </c>
      <c r="C20" s="2" t="n">
        <v>2</v>
      </c>
      <c r="D20" s="2" t="s">
        <v>84</v>
      </c>
      <c r="E20" s="2" t="s">
        <v>18</v>
      </c>
      <c r="F20" s="2" t="s">
        <v>118</v>
      </c>
      <c r="G20" s="3" t="n">
        <v>52</v>
      </c>
      <c r="H20" s="3" t="n">
        <v>23</v>
      </c>
      <c r="I20" s="3"/>
      <c r="J20" s="2" t="n">
        <f aca="false">G20-H20</f>
        <v>29</v>
      </c>
      <c r="K20" s="2" t="s">
        <v>119</v>
      </c>
      <c r="L20" s="2" t="s">
        <v>120</v>
      </c>
      <c r="M20" s="2" t="s">
        <v>58</v>
      </c>
      <c r="N20" s="2" t="s">
        <v>59</v>
      </c>
      <c r="O20" s="2" t="s">
        <v>60</v>
      </c>
    </row>
    <row r="21" customFormat="false" ht="23.85" hidden="false" customHeight="false" outlineLevel="0" collapsed="false">
      <c r="A21" s="2" t="s">
        <v>121</v>
      </c>
      <c r="B21" s="2" t="s">
        <v>16</v>
      </c>
      <c r="C21" s="2" t="n">
        <v>2</v>
      </c>
      <c r="D21" s="2" t="s">
        <v>84</v>
      </c>
      <c r="E21" s="2" t="s">
        <v>18</v>
      </c>
      <c r="F21" s="2" t="s">
        <v>122</v>
      </c>
      <c r="G21" s="3" t="n">
        <v>39</v>
      </c>
      <c r="H21" s="3" t="n">
        <v>11</v>
      </c>
      <c r="I21" s="3"/>
      <c r="J21" s="2" t="n">
        <f aca="false">G21-H21</f>
        <v>28</v>
      </c>
      <c r="K21" s="2" t="s">
        <v>123</v>
      </c>
      <c r="L21" s="2" t="s">
        <v>124</v>
      </c>
      <c r="M21" s="2" t="s">
        <v>58</v>
      </c>
      <c r="N21" s="2" t="s">
        <v>59</v>
      </c>
      <c r="O21" s="2" t="s">
        <v>60</v>
      </c>
    </row>
    <row r="22" customFormat="false" ht="23.85" hidden="false" customHeight="false" outlineLevel="0" collapsed="false">
      <c r="A22" s="2" t="s">
        <v>125</v>
      </c>
      <c r="B22" s="2" t="s">
        <v>16</v>
      </c>
      <c r="C22" s="2" t="n">
        <v>2</v>
      </c>
      <c r="D22" s="2" t="s">
        <v>84</v>
      </c>
      <c r="E22" s="2" t="s">
        <v>18</v>
      </c>
      <c r="F22" s="2" t="s">
        <v>126</v>
      </c>
      <c r="G22" s="3" t="n">
        <v>54</v>
      </c>
      <c r="H22" s="3" t="n">
        <v>23</v>
      </c>
      <c r="I22" s="3"/>
      <c r="J22" s="2" t="n">
        <f aca="false">G22-H22</f>
        <v>31</v>
      </c>
      <c r="K22" s="2" t="s">
        <v>127</v>
      </c>
      <c r="L22" s="2" t="s">
        <v>128</v>
      </c>
      <c r="M22" s="2" t="s">
        <v>58</v>
      </c>
      <c r="N22" s="2" t="s">
        <v>59</v>
      </c>
      <c r="O22" s="2" t="s">
        <v>60</v>
      </c>
    </row>
    <row r="23" customFormat="false" ht="23.85" hidden="false" customHeight="false" outlineLevel="0" collapsed="false">
      <c r="A23" s="2" t="s">
        <v>129</v>
      </c>
      <c r="B23" s="2" t="s">
        <v>16</v>
      </c>
      <c r="C23" s="2" t="n">
        <v>2</v>
      </c>
      <c r="D23" s="2" t="s">
        <v>84</v>
      </c>
      <c r="E23" s="2" t="s">
        <v>18</v>
      </c>
      <c r="F23" s="2" t="s">
        <v>130</v>
      </c>
      <c r="G23" s="3" t="n">
        <v>41</v>
      </c>
      <c r="H23" s="3" t="n">
        <v>20</v>
      </c>
      <c r="I23" s="3"/>
      <c r="J23" s="2" t="n">
        <f aca="false">G23-H23</f>
        <v>21</v>
      </c>
      <c r="K23" s="2" t="s">
        <v>131</v>
      </c>
      <c r="L23" s="2" t="s">
        <v>132</v>
      </c>
      <c r="M23" s="2" t="s">
        <v>72</v>
      </c>
      <c r="N23" s="2" t="s">
        <v>73</v>
      </c>
      <c r="O23" s="2" t="s">
        <v>74</v>
      </c>
    </row>
    <row r="24" customFormat="false" ht="23.85" hidden="false" customHeight="false" outlineLevel="0" collapsed="false">
      <c r="A24" s="2" t="s">
        <v>133</v>
      </c>
      <c r="B24" s="2" t="s">
        <v>16</v>
      </c>
      <c r="C24" s="2" t="n">
        <v>2</v>
      </c>
      <c r="D24" s="2" t="s">
        <v>84</v>
      </c>
      <c r="E24" s="2" t="s">
        <v>18</v>
      </c>
      <c r="F24" s="2" t="s">
        <v>134</v>
      </c>
      <c r="G24" s="3" t="n">
        <v>60</v>
      </c>
      <c r="H24" s="3" t="n">
        <v>24</v>
      </c>
      <c r="I24" s="3"/>
      <c r="J24" s="2" t="n">
        <f aca="false">G24-H24</f>
        <v>36</v>
      </c>
      <c r="K24" s="2" t="s">
        <v>135</v>
      </c>
      <c r="L24" s="2" t="s">
        <v>136</v>
      </c>
      <c r="M24" s="2" t="s">
        <v>72</v>
      </c>
      <c r="N24" s="2" t="s">
        <v>73</v>
      </c>
      <c r="O24" s="2" t="s">
        <v>74</v>
      </c>
    </row>
    <row r="25" customFormat="false" ht="23.85" hidden="false" customHeight="false" outlineLevel="0" collapsed="false">
      <c r="A25" s="2" t="s">
        <v>137</v>
      </c>
      <c r="B25" s="2" t="s">
        <v>16</v>
      </c>
      <c r="C25" s="2" t="n">
        <v>2</v>
      </c>
      <c r="D25" s="2" t="s">
        <v>84</v>
      </c>
      <c r="E25" s="2" t="s">
        <v>18</v>
      </c>
      <c r="F25" s="2" t="s">
        <v>138</v>
      </c>
      <c r="G25" s="3" t="n">
        <v>50</v>
      </c>
      <c r="H25" s="3" t="n">
        <v>21</v>
      </c>
      <c r="I25" s="3"/>
      <c r="J25" s="2" t="n">
        <f aca="false">G25-H25</f>
        <v>29</v>
      </c>
      <c r="K25" s="2" t="s">
        <v>139</v>
      </c>
      <c r="L25" s="2" t="s">
        <v>140</v>
      </c>
      <c r="M25" s="2" t="s">
        <v>72</v>
      </c>
      <c r="N25" s="2" t="s">
        <v>73</v>
      </c>
      <c r="O25" s="2" t="s">
        <v>74</v>
      </c>
    </row>
    <row r="26" customFormat="false" ht="23.85" hidden="false" customHeight="false" outlineLevel="0" collapsed="false">
      <c r="A26" s="2" t="s">
        <v>141</v>
      </c>
      <c r="B26" s="2" t="s">
        <v>16</v>
      </c>
      <c r="C26" s="2" t="n">
        <v>3</v>
      </c>
      <c r="D26" s="2" t="s">
        <v>142</v>
      </c>
      <c r="E26" s="2" t="s">
        <v>18</v>
      </c>
      <c r="F26" s="2" t="s">
        <v>143</v>
      </c>
      <c r="G26" s="3" t="n">
        <v>77</v>
      </c>
      <c r="H26" s="3" t="n">
        <v>15</v>
      </c>
      <c r="I26" s="3"/>
      <c r="J26" s="2" t="n">
        <f aca="false">G26+H26</f>
        <v>92</v>
      </c>
      <c r="K26" s="2" t="s">
        <v>144</v>
      </c>
      <c r="L26" s="2" t="s">
        <v>145</v>
      </c>
      <c r="M26" s="2" t="s">
        <v>22</v>
      </c>
      <c r="N26" s="2" t="s">
        <v>146</v>
      </c>
      <c r="O26" s="2" t="s">
        <v>147</v>
      </c>
    </row>
    <row r="27" customFormat="false" ht="23.85" hidden="false" customHeight="false" outlineLevel="0" collapsed="false">
      <c r="A27" s="2" t="s">
        <v>148</v>
      </c>
      <c r="B27" s="2" t="s">
        <v>16</v>
      </c>
      <c r="C27" s="2" t="n">
        <v>3</v>
      </c>
      <c r="D27" s="2" t="s">
        <v>142</v>
      </c>
      <c r="E27" s="2" t="s">
        <v>18</v>
      </c>
      <c r="F27" s="2" t="s">
        <v>149</v>
      </c>
      <c r="G27" s="3" t="n">
        <v>98</v>
      </c>
      <c r="H27" s="3" t="n">
        <v>45</v>
      </c>
      <c r="I27" s="3"/>
      <c r="J27" s="2" t="n">
        <f aca="false">G27+H27</f>
        <v>143</v>
      </c>
      <c r="K27" s="2" t="s">
        <v>150</v>
      </c>
      <c r="L27" s="2" t="s">
        <v>151</v>
      </c>
      <c r="M27" s="2" t="s">
        <v>22</v>
      </c>
      <c r="N27" s="2" t="s">
        <v>152</v>
      </c>
      <c r="O27" s="2" t="s">
        <v>153</v>
      </c>
    </row>
    <row r="28" customFormat="false" ht="23.85" hidden="false" customHeight="false" outlineLevel="0" collapsed="false">
      <c r="A28" s="2" t="s">
        <v>154</v>
      </c>
      <c r="B28" s="2" t="s">
        <v>16</v>
      </c>
      <c r="C28" s="2" t="n">
        <v>3</v>
      </c>
      <c r="D28" s="2" t="s">
        <v>142</v>
      </c>
      <c r="E28" s="2" t="s">
        <v>18</v>
      </c>
      <c r="F28" s="2" t="s">
        <v>155</v>
      </c>
      <c r="G28" s="3" t="n">
        <v>91</v>
      </c>
      <c r="H28" s="3" t="n">
        <v>26</v>
      </c>
      <c r="I28" s="3"/>
      <c r="J28" s="2" t="n">
        <f aca="false">G28+H28</f>
        <v>117</v>
      </c>
      <c r="K28" s="2" t="s">
        <v>156</v>
      </c>
      <c r="L28" s="2" t="s">
        <v>157</v>
      </c>
      <c r="M28" s="2" t="s">
        <v>22</v>
      </c>
      <c r="N28" s="2" t="s">
        <v>158</v>
      </c>
      <c r="O28" s="2" t="s">
        <v>159</v>
      </c>
    </row>
    <row r="29" customFormat="false" ht="23.85" hidden="false" customHeight="false" outlineLevel="0" collapsed="false">
      <c r="A29" s="2" t="s">
        <v>160</v>
      </c>
      <c r="B29" s="2" t="s">
        <v>16</v>
      </c>
      <c r="C29" s="2" t="n">
        <v>3</v>
      </c>
      <c r="D29" s="2" t="s">
        <v>142</v>
      </c>
      <c r="E29" s="2" t="s">
        <v>18</v>
      </c>
      <c r="F29" s="2" t="s">
        <v>161</v>
      </c>
      <c r="G29" s="3" t="n">
        <v>91</v>
      </c>
      <c r="H29" s="3" t="n">
        <v>29</v>
      </c>
      <c r="I29" s="3"/>
      <c r="J29" s="2" t="n">
        <f aca="false">G29-H29</f>
        <v>62</v>
      </c>
      <c r="K29" s="2" t="s">
        <v>162</v>
      </c>
      <c r="L29" s="2" t="s">
        <v>163</v>
      </c>
      <c r="M29" s="2" t="s">
        <v>41</v>
      </c>
      <c r="N29" s="2" t="s">
        <v>164</v>
      </c>
      <c r="O29" s="2" t="s">
        <v>43</v>
      </c>
    </row>
    <row r="30" customFormat="false" ht="23.85" hidden="false" customHeight="false" outlineLevel="0" collapsed="false">
      <c r="A30" s="2" t="s">
        <v>165</v>
      </c>
      <c r="B30" s="2" t="s">
        <v>16</v>
      </c>
      <c r="C30" s="2" t="n">
        <v>3</v>
      </c>
      <c r="D30" s="2" t="s">
        <v>142</v>
      </c>
      <c r="E30" s="2" t="s">
        <v>18</v>
      </c>
      <c r="F30" s="2" t="s">
        <v>166</v>
      </c>
      <c r="G30" s="3" t="n">
        <v>87</v>
      </c>
      <c r="H30" s="3" t="n">
        <v>32</v>
      </c>
      <c r="I30" s="3"/>
      <c r="J30" s="2" t="n">
        <f aca="false">G30-H30</f>
        <v>55</v>
      </c>
      <c r="K30" s="2" t="s">
        <v>167</v>
      </c>
      <c r="L30" s="2" t="s">
        <v>168</v>
      </c>
      <c r="M30" s="2" t="s">
        <v>41</v>
      </c>
      <c r="N30" s="2" t="s">
        <v>169</v>
      </c>
      <c r="O30" s="2" t="s">
        <v>43</v>
      </c>
    </row>
    <row r="31" customFormat="false" ht="23.85" hidden="false" customHeight="false" outlineLevel="0" collapsed="false">
      <c r="A31" s="2" t="s">
        <v>170</v>
      </c>
      <c r="B31" s="2" t="s">
        <v>16</v>
      </c>
      <c r="C31" s="2" t="n">
        <v>3</v>
      </c>
      <c r="D31" s="2" t="s">
        <v>142</v>
      </c>
      <c r="E31" s="2" t="s">
        <v>18</v>
      </c>
      <c r="F31" s="2" t="s">
        <v>171</v>
      </c>
      <c r="G31" s="3" t="n">
        <v>78</v>
      </c>
      <c r="H31" s="3" t="n">
        <v>25</v>
      </c>
      <c r="I31" s="3"/>
      <c r="J31" s="2" t="n">
        <f aca="false">G31-H31</f>
        <v>53</v>
      </c>
      <c r="K31" s="2" t="s">
        <v>172</v>
      </c>
      <c r="L31" s="2" t="s">
        <v>173</v>
      </c>
      <c r="M31" s="2" t="s">
        <v>41</v>
      </c>
      <c r="N31" s="2" t="s">
        <v>174</v>
      </c>
      <c r="O31" s="2" t="s">
        <v>43</v>
      </c>
    </row>
    <row r="32" customFormat="false" ht="23.85" hidden="false" customHeight="false" outlineLevel="0" collapsed="false">
      <c r="A32" s="2" t="s">
        <v>175</v>
      </c>
      <c r="B32" s="2" t="s">
        <v>16</v>
      </c>
      <c r="C32" s="2" t="n">
        <v>3</v>
      </c>
      <c r="D32" s="2" t="s">
        <v>142</v>
      </c>
      <c r="E32" s="2" t="s">
        <v>18</v>
      </c>
      <c r="F32" s="2" t="s">
        <v>176</v>
      </c>
      <c r="G32" s="3" t="n">
        <v>88</v>
      </c>
      <c r="H32" s="3" t="n">
        <v>37</v>
      </c>
      <c r="I32" s="3"/>
      <c r="J32" s="2" t="n">
        <f aca="false">G32-H32</f>
        <v>51</v>
      </c>
      <c r="K32" s="2" t="s">
        <v>177</v>
      </c>
      <c r="L32" s="2" t="s">
        <v>178</v>
      </c>
      <c r="M32" s="2" t="s">
        <v>58</v>
      </c>
      <c r="N32" s="2" t="s">
        <v>59</v>
      </c>
      <c r="O32" s="2" t="s">
        <v>60</v>
      </c>
    </row>
    <row r="33" customFormat="false" ht="23.85" hidden="false" customHeight="false" outlineLevel="0" collapsed="false">
      <c r="A33" s="2" t="s">
        <v>179</v>
      </c>
      <c r="B33" s="2" t="s">
        <v>16</v>
      </c>
      <c r="C33" s="2" t="n">
        <v>3</v>
      </c>
      <c r="D33" s="2" t="s">
        <v>142</v>
      </c>
      <c r="E33" s="2" t="s">
        <v>18</v>
      </c>
      <c r="F33" s="2" t="s">
        <v>180</v>
      </c>
      <c r="G33" s="3" t="n">
        <v>76</v>
      </c>
      <c r="H33" s="3" t="n">
        <v>29</v>
      </c>
      <c r="I33" s="3"/>
      <c r="J33" s="2" t="n">
        <f aca="false">G33-H33</f>
        <v>47</v>
      </c>
      <c r="K33" s="2" t="s">
        <v>181</v>
      </c>
      <c r="L33" s="2" t="s">
        <v>182</v>
      </c>
      <c r="M33" s="2" t="s">
        <v>58</v>
      </c>
      <c r="N33" s="2" t="s">
        <v>59</v>
      </c>
      <c r="O33" s="2" t="s">
        <v>60</v>
      </c>
    </row>
    <row r="34" customFormat="false" ht="23.85" hidden="false" customHeight="false" outlineLevel="0" collapsed="false">
      <c r="A34" s="2" t="s">
        <v>183</v>
      </c>
      <c r="B34" s="2" t="s">
        <v>16</v>
      </c>
      <c r="C34" s="2" t="n">
        <v>3</v>
      </c>
      <c r="D34" s="2" t="s">
        <v>142</v>
      </c>
      <c r="E34" s="2" t="s">
        <v>18</v>
      </c>
      <c r="F34" s="2" t="s">
        <v>184</v>
      </c>
      <c r="G34" s="3" t="n">
        <v>90</v>
      </c>
      <c r="H34" s="3" t="n">
        <v>45</v>
      </c>
      <c r="I34" s="3"/>
      <c r="J34" s="2" t="n">
        <f aca="false">G34-H34</f>
        <v>45</v>
      </c>
      <c r="K34" s="2" t="s">
        <v>185</v>
      </c>
      <c r="L34" s="2" t="s">
        <v>186</v>
      </c>
      <c r="M34" s="2" t="s">
        <v>58</v>
      </c>
      <c r="N34" s="2" t="s">
        <v>59</v>
      </c>
      <c r="O34" s="2" t="s">
        <v>60</v>
      </c>
    </row>
    <row r="35" customFormat="false" ht="23.85" hidden="false" customHeight="false" outlineLevel="0" collapsed="false">
      <c r="A35" s="2" t="s">
        <v>187</v>
      </c>
      <c r="B35" s="2" t="s">
        <v>16</v>
      </c>
      <c r="C35" s="2" t="n">
        <v>3</v>
      </c>
      <c r="D35" s="2" t="s">
        <v>142</v>
      </c>
      <c r="E35" s="2" t="s">
        <v>18</v>
      </c>
      <c r="F35" s="2" t="s">
        <v>188</v>
      </c>
      <c r="G35" s="3" t="n">
        <v>77</v>
      </c>
      <c r="H35" s="3" t="n">
        <v>43</v>
      </c>
      <c r="I35" s="3"/>
      <c r="J35" s="2" t="n">
        <f aca="false">G35-H35</f>
        <v>34</v>
      </c>
      <c r="K35" s="2" t="s">
        <v>189</v>
      </c>
      <c r="L35" s="2" t="s">
        <v>190</v>
      </c>
      <c r="M35" s="2" t="s">
        <v>72</v>
      </c>
      <c r="N35" s="2" t="s">
        <v>73</v>
      </c>
      <c r="O35" s="2" t="s">
        <v>74</v>
      </c>
    </row>
    <row r="36" customFormat="false" ht="23.85" hidden="false" customHeight="false" outlineLevel="0" collapsed="false">
      <c r="A36" s="2" t="s">
        <v>191</v>
      </c>
      <c r="B36" s="2" t="s">
        <v>16</v>
      </c>
      <c r="C36" s="2" t="n">
        <v>3</v>
      </c>
      <c r="D36" s="2" t="s">
        <v>142</v>
      </c>
      <c r="E36" s="2" t="s">
        <v>18</v>
      </c>
      <c r="F36" s="2" t="s">
        <v>192</v>
      </c>
      <c r="G36" s="3" t="n">
        <v>66</v>
      </c>
      <c r="H36" s="3" t="n">
        <v>21</v>
      </c>
      <c r="I36" s="3"/>
      <c r="J36" s="2" t="n">
        <f aca="false">G36-H36</f>
        <v>45</v>
      </c>
      <c r="K36" s="2" t="s">
        <v>193</v>
      </c>
      <c r="L36" s="2" t="s">
        <v>194</v>
      </c>
      <c r="M36" s="2" t="s">
        <v>72</v>
      </c>
      <c r="N36" s="2" t="s">
        <v>73</v>
      </c>
      <c r="O36" s="2" t="s">
        <v>74</v>
      </c>
    </row>
    <row r="37" customFormat="false" ht="23.85" hidden="false" customHeight="false" outlineLevel="0" collapsed="false">
      <c r="A37" s="2" t="s">
        <v>195</v>
      </c>
      <c r="B37" s="2" t="s">
        <v>16</v>
      </c>
      <c r="C37" s="2" t="n">
        <v>3</v>
      </c>
      <c r="D37" s="2" t="s">
        <v>142</v>
      </c>
      <c r="E37" s="2" t="s">
        <v>18</v>
      </c>
      <c r="F37" s="2" t="s">
        <v>196</v>
      </c>
      <c r="G37" s="3" t="n">
        <v>69</v>
      </c>
      <c r="H37" s="3" t="n">
        <v>29</v>
      </c>
      <c r="I37" s="3"/>
      <c r="J37" s="2" t="n">
        <f aca="false">G37-H37</f>
        <v>40</v>
      </c>
      <c r="K37" s="2" t="s">
        <v>197</v>
      </c>
      <c r="L37" s="2" t="s">
        <v>198</v>
      </c>
      <c r="M37" s="2" t="s">
        <v>72</v>
      </c>
      <c r="N37" s="2" t="s">
        <v>73</v>
      </c>
      <c r="O37" s="2" t="s">
        <v>74</v>
      </c>
    </row>
    <row r="38" customFormat="false" ht="23.85" hidden="false" customHeight="false" outlineLevel="0" collapsed="false">
      <c r="A38" s="2" t="s">
        <v>199</v>
      </c>
      <c r="B38" s="2" t="s">
        <v>200</v>
      </c>
      <c r="C38" s="2" t="n">
        <v>1</v>
      </c>
      <c r="D38" s="2" t="s">
        <v>201</v>
      </c>
      <c r="E38" s="2" t="s">
        <v>200</v>
      </c>
      <c r="F38" s="2" t="s">
        <v>202</v>
      </c>
      <c r="G38" s="3" t="n">
        <v>17</v>
      </c>
      <c r="H38" s="3" t="n">
        <v>6</v>
      </c>
      <c r="I38" s="3"/>
      <c r="J38" s="2" t="n">
        <f aca="false">G38+H38</f>
        <v>23</v>
      </c>
      <c r="K38" s="2" t="s">
        <v>203</v>
      </c>
      <c r="L38" s="2" t="s">
        <v>204</v>
      </c>
      <c r="M38" s="2" t="s">
        <v>205</v>
      </c>
      <c r="N38" s="2" t="s">
        <v>206</v>
      </c>
      <c r="O38" s="2" t="s">
        <v>207</v>
      </c>
    </row>
    <row r="39" customFormat="false" ht="23.85" hidden="false" customHeight="false" outlineLevel="0" collapsed="false">
      <c r="A39" s="2" t="s">
        <v>208</v>
      </c>
      <c r="B39" s="2" t="s">
        <v>200</v>
      </c>
      <c r="C39" s="2" t="n">
        <v>1</v>
      </c>
      <c r="D39" s="2" t="s">
        <v>201</v>
      </c>
      <c r="E39" s="2" t="s">
        <v>200</v>
      </c>
      <c r="F39" s="2" t="s">
        <v>209</v>
      </c>
      <c r="G39" s="3" t="n">
        <v>13</v>
      </c>
      <c r="H39" s="3" t="n">
        <v>3</v>
      </c>
      <c r="I39" s="3"/>
      <c r="J39" s="2" t="n">
        <f aca="false">G39+H39</f>
        <v>16</v>
      </c>
      <c r="K39" s="2" t="s">
        <v>210</v>
      </c>
      <c r="L39" s="2" t="s">
        <v>211</v>
      </c>
      <c r="M39" s="2" t="s">
        <v>212</v>
      </c>
      <c r="N39" s="2" t="s">
        <v>213</v>
      </c>
      <c r="O39" s="2" t="s">
        <v>214</v>
      </c>
    </row>
    <row r="40" customFormat="false" ht="23.85" hidden="false" customHeight="false" outlineLevel="0" collapsed="false">
      <c r="A40" s="2" t="s">
        <v>215</v>
      </c>
      <c r="B40" s="2" t="s">
        <v>200</v>
      </c>
      <c r="C40" s="2" t="n">
        <v>1</v>
      </c>
      <c r="D40" s="2" t="s">
        <v>201</v>
      </c>
      <c r="E40" s="2" t="s">
        <v>200</v>
      </c>
      <c r="F40" s="2" t="s">
        <v>216</v>
      </c>
      <c r="G40" s="3" t="n">
        <v>18</v>
      </c>
      <c r="H40" s="3" t="n">
        <v>4</v>
      </c>
      <c r="I40" s="3"/>
      <c r="J40" s="2" t="n">
        <f aca="false">G40+H40</f>
        <v>22</v>
      </c>
      <c r="K40" s="2" t="s">
        <v>217</v>
      </c>
      <c r="L40" s="2" t="s">
        <v>218</v>
      </c>
      <c r="M40" s="2" t="s">
        <v>219</v>
      </c>
      <c r="N40" s="2" t="s">
        <v>220</v>
      </c>
      <c r="O40" s="2" t="s">
        <v>221</v>
      </c>
    </row>
    <row r="41" customFormat="false" ht="23.85" hidden="false" customHeight="false" outlineLevel="0" collapsed="false">
      <c r="A41" s="2" t="s">
        <v>222</v>
      </c>
      <c r="B41" s="2" t="s">
        <v>200</v>
      </c>
      <c r="C41" s="2" t="n">
        <v>1</v>
      </c>
      <c r="D41" s="2" t="s">
        <v>201</v>
      </c>
      <c r="E41" s="2" t="s">
        <v>200</v>
      </c>
      <c r="F41" s="2" t="s">
        <v>223</v>
      </c>
      <c r="G41" s="3" t="n">
        <v>12</v>
      </c>
      <c r="H41" s="3" t="n">
        <v>2</v>
      </c>
      <c r="I41" s="3"/>
      <c r="J41" s="2" t="n">
        <f aca="false">G41-H41</f>
        <v>10</v>
      </c>
      <c r="K41" s="2" t="s">
        <v>224</v>
      </c>
      <c r="L41" s="2" t="s">
        <v>225</v>
      </c>
      <c r="M41" s="2" t="s">
        <v>226</v>
      </c>
      <c r="N41" s="2" t="s">
        <v>227</v>
      </c>
      <c r="O41" s="2" t="s">
        <v>228</v>
      </c>
    </row>
    <row r="42" customFormat="false" ht="23.85" hidden="false" customHeight="false" outlineLevel="0" collapsed="false">
      <c r="A42" s="2" t="s">
        <v>229</v>
      </c>
      <c r="B42" s="2" t="s">
        <v>200</v>
      </c>
      <c r="C42" s="2" t="n">
        <v>1</v>
      </c>
      <c r="D42" s="2" t="s">
        <v>201</v>
      </c>
      <c r="E42" s="2" t="s">
        <v>200</v>
      </c>
      <c r="F42" s="2" t="s">
        <v>230</v>
      </c>
      <c r="G42" s="3" t="n">
        <v>19</v>
      </c>
      <c r="H42" s="3" t="n">
        <v>8</v>
      </c>
      <c r="I42" s="3"/>
      <c r="J42" s="2" t="n">
        <f aca="false">G42-H42</f>
        <v>11</v>
      </c>
      <c r="K42" s="2" t="s">
        <v>231</v>
      </c>
      <c r="L42" s="2" t="s">
        <v>232</v>
      </c>
      <c r="M42" s="2" t="s">
        <v>233</v>
      </c>
      <c r="N42" s="2" t="s">
        <v>234</v>
      </c>
      <c r="O42" s="2" t="s">
        <v>228</v>
      </c>
    </row>
    <row r="43" customFormat="false" ht="23.85" hidden="false" customHeight="false" outlineLevel="0" collapsed="false">
      <c r="A43" s="2" t="s">
        <v>235</v>
      </c>
      <c r="B43" s="2" t="s">
        <v>200</v>
      </c>
      <c r="C43" s="2" t="n">
        <v>1</v>
      </c>
      <c r="D43" s="2" t="s">
        <v>201</v>
      </c>
      <c r="E43" s="2" t="s">
        <v>200</v>
      </c>
      <c r="F43" s="2" t="s">
        <v>236</v>
      </c>
      <c r="G43" s="3" t="n">
        <v>13</v>
      </c>
      <c r="H43" s="3" t="n">
        <v>5</v>
      </c>
      <c r="I43" s="3"/>
      <c r="J43" s="2" t="n">
        <f aca="false">G43-H43</f>
        <v>8</v>
      </c>
      <c r="K43" s="2" t="s">
        <v>237</v>
      </c>
      <c r="L43" s="2" t="s">
        <v>238</v>
      </c>
      <c r="M43" s="2" t="s">
        <v>239</v>
      </c>
      <c r="N43" s="2" t="s">
        <v>240</v>
      </c>
      <c r="O43" s="2" t="s">
        <v>228</v>
      </c>
    </row>
    <row r="44" customFormat="false" ht="23.85" hidden="false" customHeight="false" outlineLevel="0" collapsed="false">
      <c r="A44" s="2" t="s">
        <v>241</v>
      </c>
      <c r="B44" s="2" t="s">
        <v>200</v>
      </c>
      <c r="C44" s="2" t="n">
        <v>1</v>
      </c>
      <c r="D44" s="2" t="s">
        <v>201</v>
      </c>
      <c r="E44" s="2" t="s">
        <v>200</v>
      </c>
      <c r="F44" s="2" t="s">
        <v>242</v>
      </c>
      <c r="G44" s="3" t="n">
        <v>18</v>
      </c>
      <c r="H44" s="3" t="n">
        <v>4</v>
      </c>
      <c r="I44" s="3"/>
      <c r="J44" s="2" t="n">
        <f aca="false">G44-H44</f>
        <v>14</v>
      </c>
      <c r="K44" s="2" t="s">
        <v>243</v>
      </c>
      <c r="L44" s="2" t="s">
        <v>244</v>
      </c>
      <c r="M44" s="2" t="s">
        <v>245</v>
      </c>
      <c r="N44" s="2" t="s">
        <v>246</v>
      </c>
      <c r="O44" s="2" t="s">
        <v>43</v>
      </c>
    </row>
    <row r="45" customFormat="false" ht="23.85" hidden="false" customHeight="false" outlineLevel="0" collapsed="false">
      <c r="A45" s="2" t="s">
        <v>247</v>
      </c>
      <c r="B45" s="2" t="s">
        <v>200</v>
      </c>
      <c r="C45" s="2" t="n">
        <v>1</v>
      </c>
      <c r="D45" s="2" t="s">
        <v>201</v>
      </c>
      <c r="E45" s="2" t="s">
        <v>200</v>
      </c>
      <c r="F45" s="2" t="s">
        <v>248</v>
      </c>
      <c r="G45" s="3" t="n">
        <v>12</v>
      </c>
      <c r="H45" s="3" t="n">
        <v>3</v>
      </c>
      <c r="I45" s="3"/>
      <c r="J45" s="2" t="n">
        <f aca="false">G45-H45</f>
        <v>9</v>
      </c>
      <c r="K45" s="2" t="s">
        <v>249</v>
      </c>
      <c r="L45" s="2" t="s">
        <v>250</v>
      </c>
      <c r="M45" s="2" t="s">
        <v>245</v>
      </c>
      <c r="N45" s="2" t="s">
        <v>246</v>
      </c>
      <c r="O45" s="2" t="s">
        <v>43</v>
      </c>
    </row>
    <row r="46" customFormat="false" ht="23.85" hidden="false" customHeight="false" outlineLevel="0" collapsed="false">
      <c r="A46" s="2" t="s">
        <v>251</v>
      </c>
      <c r="B46" s="2" t="s">
        <v>200</v>
      </c>
      <c r="C46" s="2" t="n">
        <v>1</v>
      </c>
      <c r="D46" s="2" t="s">
        <v>201</v>
      </c>
      <c r="E46" s="2" t="s">
        <v>200</v>
      </c>
      <c r="F46" s="2" t="s">
        <v>252</v>
      </c>
      <c r="G46" s="3" t="n">
        <v>16</v>
      </c>
      <c r="H46" s="3" t="n">
        <v>5</v>
      </c>
      <c r="I46" s="3"/>
      <c r="J46" s="2" t="n">
        <f aca="false">G46-H46</f>
        <v>11</v>
      </c>
      <c r="K46" s="2" t="s">
        <v>253</v>
      </c>
      <c r="L46" s="2" t="s">
        <v>254</v>
      </c>
      <c r="M46" s="2" t="s">
        <v>245</v>
      </c>
      <c r="N46" s="2" t="s">
        <v>246</v>
      </c>
      <c r="O46" s="2" t="s">
        <v>43</v>
      </c>
    </row>
    <row r="47" customFormat="false" ht="23.85" hidden="false" customHeight="false" outlineLevel="0" collapsed="false">
      <c r="A47" s="2" t="s">
        <v>255</v>
      </c>
      <c r="B47" s="2" t="s">
        <v>200</v>
      </c>
      <c r="C47" s="2" t="n">
        <v>1</v>
      </c>
      <c r="D47" s="2" t="s">
        <v>201</v>
      </c>
      <c r="E47" s="2" t="s">
        <v>200</v>
      </c>
      <c r="F47" s="2" t="s">
        <v>256</v>
      </c>
      <c r="G47" s="3" t="n">
        <v>16</v>
      </c>
      <c r="H47" s="3" t="n">
        <v>2</v>
      </c>
      <c r="I47" s="3"/>
      <c r="J47" s="2" t="n">
        <f aca="false">2*G47+H47</f>
        <v>34</v>
      </c>
      <c r="K47" s="2" t="s">
        <v>257</v>
      </c>
      <c r="L47" s="2" t="s">
        <v>258</v>
      </c>
      <c r="M47" s="2" t="s">
        <v>259</v>
      </c>
      <c r="N47" s="2" t="s">
        <v>260</v>
      </c>
      <c r="O47" s="2" t="s">
        <v>261</v>
      </c>
    </row>
    <row r="48" customFormat="false" ht="23.85" hidden="false" customHeight="false" outlineLevel="0" collapsed="false">
      <c r="A48" s="2" t="s">
        <v>262</v>
      </c>
      <c r="B48" s="2" t="s">
        <v>200</v>
      </c>
      <c r="C48" s="2" t="n">
        <v>1</v>
      </c>
      <c r="D48" s="2" t="s">
        <v>201</v>
      </c>
      <c r="E48" s="2" t="s">
        <v>200</v>
      </c>
      <c r="F48" s="2" t="s">
        <v>263</v>
      </c>
      <c r="G48" s="3" t="n">
        <v>10</v>
      </c>
      <c r="H48" s="3" t="n">
        <v>8</v>
      </c>
      <c r="I48" s="3"/>
      <c r="J48" s="2" t="n">
        <f aca="false">2*G48+H48</f>
        <v>28</v>
      </c>
      <c r="K48" s="2" t="s">
        <v>264</v>
      </c>
      <c r="L48" s="2" t="s">
        <v>265</v>
      </c>
      <c r="M48" s="2" t="s">
        <v>266</v>
      </c>
      <c r="N48" s="2" t="s">
        <v>260</v>
      </c>
      <c r="O48" s="2" t="s">
        <v>267</v>
      </c>
    </row>
    <row r="49" customFormat="false" ht="23.85" hidden="false" customHeight="false" outlineLevel="0" collapsed="false">
      <c r="A49" s="2" t="s">
        <v>268</v>
      </c>
      <c r="B49" s="2" t="s">
        <v>200</v>
      </c>
      <c r="C49" s="2" t="n">
        <v>1</v>
      </c>
      <c r="D49" s="2" t="s">
        <v>201</v>
      </c>
      <c r="E49" s="2" t="s">
        <v>200</v>
      </c>
      <c r="F49" s="2" t="s">
        <v>269</v>
      </c>
      <c r="G49" s="3" t="n">
        <v>10</v>
      </c>
      <c r="H49" s="3" t="n">
        <v>2</v>
      </c>
      <c r="I49" s="3"/>
      <c r="J49" s="2" t="n">
        <f aca="false">2*G49+H49</f>
        <v>22</v>
      </c>
      <c r="K49" s="2" t="s">
        <v>270</v>
      </c>
      <c r="L49" s="2" t="s">
        <v>271</v>
      </c>
      <c r="M49" s="2" t="s">
        <v>272</v>
      </c>
      <c r="N49" s="2" t="s">
        <v>260</v>
      </c>
      <c r="O49" s="2" t="s">
        <v>273</v>
      </c>
    </row>
    <row r="50" customFormat="false" ht="23.85" hidden="false" customHeight="false" outlineLevel="0" collapsed="false">
      <c r="A50" s="2" t="s">
        <v>274</v>
      </c>
      <c r="B50" s="2" t="s">
        <v>200</v>
      </c>
      <c r="C50" s="2" t="n">
        <v>2</v>
      </c>
      <c r="D50" s="2" t="s">
        <v>275</v>
      </c>
      <c r="E50" s="2" t="s">
        <v>200</v>
      </c>
      <c r="F50" s="2" t="s">
        <v>276</v>
      </c>
      <c r="G50" s="3" t="n">
        <v>41</v>
      </c>
      <c r="H50" s="3" t="n">
        <v>10</v>
      </c>
      <c r="I50" s="3"/>
      <c r="J50" s="2" t="n">
        <f aca="false">G50+H50</f>
        <v>51</v>
      </c>
      <c r="K50" s="2" t="s">
        <v>277</v>
      </c>
      <c r="L50" s="2" t="s">
        <v>278</v>
      </c>
      <c r="M50" s="2" t="s">
        <v>279</v>
      </c>
      <c r="N50" s="2" t="s">
        <v>280</v>
      </c>
      <c r="O50" s="2" t="s">
        <v>281</v>
      </c>
    </row>
    <row r="51" customFormat="false" ht="23.85" hidden="false" customHeight="false" outlineLevel="0" collapsed="false">
      <c r="A51" s="2" t="s">
        <v>282</v>
      </c>
      <c r="B51" s="2" t="s">
        <v>200</v>
      </c>
      <c r="C51" s="2" t="n">
        <v>2</v>
      </c>
      <c r="D51" s="2" t="s">
        <v>275</v>
      </c>
      <c r="E51" s="2" t="s">
        <v>200</v>
      </c>
      <c r="F51" s="2" t="s">
        <v>283</v>
      </c>
      <c r="G51" s="3" t="n">
        <v>35</v>
      </c>
      <c r="H51" s="3" t="n">
        <v>13</v>
      </c>
      <c r="I51" s="3"/>
      <c r="J51" s="2" t="n">
        <f aca="false">G51+H51</f>
        <v>48</v>
      </c>
      <c r="K51" s="2" t="s">
        <v>284</v>
      </c>
      <c r="L51" s="2" t="s">
        <v>285</v>
      </c>
      <c r="M51" s="2" t="s">
        <v>286</v>
      </c>
      <c r="N51" s="2" t="s">
        <v>287</v>
      </c>
      <c r="O51" s="2" t="s">
        <v>288</v>
      </c>
    </row>
    <row r="52" customFormat="false" ht="23.85" hidden="false" customHeight="false" outlineLevel="0" collapsed="false">
      <c r="A52" s="2" t="s">
        <v>289</v>
      </c>
      <c r="B52" s="2" t="s">
        <v>200</v>
      </c>
      <c r="C52" s="2" t="n">
        <v>2</v>
      </c>
      <c r="D52" s="2" t="s">
        <v>275</v>
      </c>
      <c r="E52" s="2" t="s">
        <v>200</v>
      </c>
      <c r="F52" s="2" t="s">
        <v>290</v>
      </c>
      <c r="G52" s="3" t="n">
        <v>24</v>
      </c>
      <c r="H52" s="3" t="n">
        <v>15</v>
      </c>
      <c r="I52" s="3"/>
      <c r="J52" s="2" t="n">
        <f aca="false">G52+H52</f>
        <v>39</v>
      </c>
      <c r="K52" s="2" t="s">
        <v>291</v>
      </c>
      <c r="L52" s="2" t="s">
        <v>292</v>
      </c>
      <c r="M52" s="2" t="s">
        <v>293</v>
      </c>
      <c r="N52" s="2" t="s">
        <v>294</v>
      </c>
      <c r="O52" s="2" t="s">
        <v>295</v>
      </c>
    </row>
    <row r="53" customFormat="false" ht="23.85" hidden="false" customHeight="false" outlineLevel="0" collapsed="false">
      <c r="A53" s="2" t="s">
        <v>296</v>
      </c>
      <c r="B53" s="2" t="s">
        <v>200</v>
      </c>
      <c r="C53" s="2" t="n">
        <v>2</v>
      </c>
      <c r="D53" s="2" t="s">
        <v>275</v>
      </c>
      <c r="E53" s="2" t="s">
        <v>200</v>
      </c>
      <c r="F53" s="2" t="s">
        <v>297</v>
      </c>
      <c r="G53" s="3" t="n">
        <v>39</v>
      </c>
      <c r="H53" s="3" t="n">
        <v>11</v>
      </c>
      <c r="I53" s="3"/>
      <c r="J53" s="2" t="n">
        <f aca="false">G53-H53</f>
        <v>28</v>
      </c>
      <c r="K53" s="2" t="s">
        <v>123</v>
      </c>
      <c r="L53" s="2" t="s">
        <v>298</v>
      </c>
      <c r="M53" s="2" t="s">
        <v>299</v>
      </c>
      <c r="N53" s="2" t="s">
        <v>300</v>
      </c>
      <c r="O53" s="2" t="s">
        <v>228</v>
      </c>
    </row>
    <row r="54" customFormat="false" ht="23.85" hidden="false" customHeight="false" outlineLevel="0" collapsed="false">
      <c r="A54" s="2" t="s">
        <v>301</v>
      </c>
      <c r="B54" s="2" t="s">
        <v>200</v>
      </c>
      <c r="C54" s="2" t="n">
        <v>2</v>
      </c>
      <c r="D54" s="2" t="s">
        <v>275</v>
      </c>
      <c r="E54" s="2" t="s">
        <v>200</v>
      </c>
      <c r="F54" s="2" t="s">
        <v>302</v>
      </c>
      <c r="G54" s="3" t="n">
        <v>41</v>
      </c>
      <c r="H54" s="3" t="n">
        <v>17</v>
      </c>
      <c r="I54" s="3"/>
      <c r="J54" s="2" t="n">
        <f aca="false">G54-H54</f>
        <v>24</v>
      </c>
      <c r="K54" s="2" t="s">
        <v>303</v>
      </c>
      <c r="L54" s="2" t="s">
        <v>304</v>
      </c>
      <c r="M54" s="2" t="s">
        <v>305</v>
      </c>
      <c r="N54" s="2" t="s">
        <v>306</v>
      </c>
      <c r="O54" s="2" t="s">
        <v>228</v>
      </c>
    </row>
    <row r="55" customFormat="false" ht="23.85" hidden="false" customHeight="false" outlineLevel="0" collapsed="false">
      <c r="A55" s="2" t="s">
        <v>307</v>
      </c>
      <c r="B55" s="2" t="s">
        <v>200</v>
      </c>
      <c r="C55" s="2" t="n">
        <v>2</v>
      </c>
      <c r="D55" s="2" t="s">
        <v>275</v>
      </c>
      <c r="E55" s="2" t="s">
        <v>200</v>
      </c>
      <c r="F55" s="2" t="s">
        <v>308</v>
      </c>
      <c r="G55" s="3" t="n">
        <v>21</v>
      </c>
      <c r="H55" s="3" t="n">
        <v>9</v>
      </c>
      <c r="I55" s="3"/>
      <c r="J55" s="2" t="n">
        <f aca="false">G55-H55</f>
        <v>12</v>
      </c>
      <c r="K55" s="2" t="s">
        <v>309</v>
      </c>
      <c r="L55" s="2" t="s">
        <v>310</v>
      </c>
      <c r="M55" s="2" t="s">
        <v>311</v>
      </c>
      <c r="N55" s="2" t="s">
        <v>312</v>
      </c>
      <c r="O55" s="2" t="s">
        <v>228</v>
      </c>
    </row>
    <row r="56" customFormat="false" ht="23.85" hidden="false" customHeight="false" outlineLevel="0" collapsed="false">
      <c r="A56" s="2" t="s">
        <v>313</v>
      </c>
      <c r="B56" s="2" t="s">
        <v>200</v>
      </c>
      <c r="C56" s="2" t="n">
        <v>2</v>
      </c>
      <c r="D56" s="2" t="s">
        <v>275</v>
      </c>
      <c r="E56" s="2" t="s">
        <v>200</v>
      </c>
      <c r="F56" s="2" t="s">
        <v>314</v>
      </c>
      <c r="G56" s="3" t="n">
        <v>40</v>
      </c>
      <c r="H56" s="3" t="n">
        <v>14</v>
      </c>
      <c r="I56" s="3"/>
      <c r="J56" s="2" t="n">
        <f aca="false">G56-H56</f>
        <v>26</v>
      </c>
      <c r="K56" s="2" t="s">
        <v>315</v>
      </c>
      <c r="L56" s="2" t="s">
        <v>316</v>
      </c>
      <c r="M56" s="2" t="s">
        <v>245</v>
      </c>
      <c r="N56" s="2" t="s">
        <v>246</v>
      </c>
      <c r="O56" s="2" t="s">
        <v>43</v>
      </c>
    </row>
    <row r="57" customFormat="false" ht="23.85" hidden="false" customHeight="false" outlineLevel="0" collapsed="false">
      <c r="A57" s="2" t="s">
        <v>317</v>
      </c>
      <c r="B57" s="2" t="s">
        <v>200</v>
      </c>
      <c r="C57" s="2" t="n">
        <v>2</v>
      </c>
      <c r="D57" s="2" t="s">
        <v>275</v>
      </c>
      <c r="E57" s="2" t="s">
        <v>200</v>
      </c>
      <c r="F57" s="2" t="s">
        <v>318</v>
      </c>
      <c r="G57" s="3" t="n">
        <v>26</v>
      </c>
      <c r="H57" s="3" t="n">
        <v>13</v>
      </c>
      <c r="I57" s="3"/>
      <c r="J57" s="2" t="n">
        <f aca="false">G57-H57</f>
        <v>13</v>
      </c>
      <c r="K57" s="2" t="s">
        <v>319</v>
      </c>
      <c r="L57" s="2" t="s">
        <v>320</v>
      </c>
      <c r="M57" s="2" t="s">
        <v>245</v>
      </c>
      <c r="N57" s="2" t="s">
        <v>246</v>
      </c>
      <c r="O57" s="2" t="s">
        <v>43</v>
      </c>
    </row>
    <row r="58" customFormat="false" ht="23.85" hidden="false" customHeight="false" outlineLevel="0" collapsed="false">
      <c r="A58" s="2" t="s">
        <v>321</v>
      </c>
      <c r="B58" s="2" t="s">
        <v>200</v>
      </c>
      <c r="C58" s="2" t="n">
        <v>2</v>
      </c>
      <c r="D58" s="2" t="s">
        <v>275</v>
      </c>
      <c r="E58" s="2" t="s">
        <v>200</v>
      </c>
      <c r="F58" s="2" t="s">
        <v>322</v>
      </c>
      <c r="G58" s="3" t="n">
        <v>24</v>
      </c>
      <c r="H58" s="3" t="n">
        <v>16</v>
      </c>
      <c r="I58" s="3"/>
      <c r="J58" s="2" t="n">
        <f aca="false">G58-H58</f>
        <v>8</v>
      </c>
      <c r="K58" s="2" t="s">
        <v>323</v>
      </c>
      <c r="L58" s="2" t="s">
        <v>324</v>
      </c>
      <c r="M58" s="2" t="s">
        <v>245</v>
      </c>
      <c r="N58" s="2" t="s">
        <v>246</v>
      </c>
      <c r="O58" s="2" t="s">
        <v>43</v>
      </c>
    </row>
    <row r="59" customFormat="false" ht="23.85" hidden="false" customHeight="false" outlineLevel="0" collapsed="false">
      <c r="A59" s="2" t="s">
        <v>325</v>
      </c>
      <c r="B59" s="2" t="s">
        <v>200</v>
      </c>
      <c r="C59" s="2" t="n">
        <v>2</v>
      </c>
      <c r="D59" s="2" t="s">
        <v>275</v>
      </c>
      <c r="E59" s="2" t="s">
        <v>200</v>
      </c>
      <c r="F59" s="2" t="s">
        <v>326</v>
      </c>
      <c r="G59" s="3" t="n">
        <v>48</v>
      </c>
      <c r="H59" s="3" t="n">
        <v>8</v>
      </c>
      <c r="I59" s="3"/>
      <c r="J59" s="2" t="n">
        <f aca="false">2*G59+H59</f>
        <v>104</v>
      </c>
      <c r="K59" s="2" t="s">
        <v>327</v>
      </c>
      <c r="L59" s="2" t="s">
        <v>328</v>
      </c>
      <c r="M59" s="2" t="s">
        <v>329</v>
      </c>
      <c r="N59" s="2" t="s">
        <v>260</v>
      </c>
      <c r="O59" s="2" t="s">
        <v>330</v>
      </c>
    </row>
    <row r="60" customFormat="false" ht="23.85" hidden="false" customHeight="false" outlineLevel="0" collapsed="false">
      <c r="A60" s="2" t="s">
        <v>331</v>
      </c>
      <c r="B60" s="2" t="s">
        <v>200</v>
      </c>
      <c r="C60" s="2" t="n">
        <v>2</v>
      </c>
      <c r="D60" s="2" t="s">
        <v>275</v>
      </c>
      <c r="E60" s="2" t="s">
        <v>200</v>
      </c>
      <c r="F60" s="2" t="s">
        <v>332</v>
      </c>
      <c r="G60" s="3" t="n">
        <v>32</v>
      </c>
      <c r="H60" s="3" t="n">
        <v>10</v>
      </c>
      <c r="I60" s="3"/>
      <c r="J60" s="2" t="n">
        <f aca="false">2*G60+H60</f>
        <v>74</v>
      </c>
      <c r="K60" s="2" t="s">
        <v>333</v>
      </c>
      <c r="L60" s="2" t="s">
        <v>334</v>
      </c>
      <c r="M60" s="2" t="s">
        <v>272</v>
      </c>
      <c r="N60" s="2" t="s">
        <v>260</v>
      </c>
      <c r="O60" s="2" t="s">
        <v>335</v>
      </c>
    </row>
    <row r="61" customFormat="false" ht="23.85" hidden="false" customHeight="false" outlineLevel="0" collapsed="false">
      <c r="A61" s="2" t="s">
        <v>336</v>
      </c>
      <c r="B61" s="2" t="s">
        <v>200</v>
      </c>
      <c r="C61" s="2" t="n">
        <v>2</v>
      </c>
      <c r="D61" s="2" t="s">
        <v>275</v>
      </c>
      <c r="E61" s="2" t="s">
        <v>200</v>
      </c>
      <c r="F61" s="2" t="s">
        <v>337</v>
      </c>
      <c r="G61" s="3" t="n">
        <v>47</v>
      </c>
      <c r="H61" s="3" t="n">
        <v>7</v>
      </c>
      <c r="I61" s="3"/>
      <c r="J61" s="2" t="n">
        <f aca="false">2*G61+H61</f>
        <v>101</v>
      </c>
      <c r="K61" s="2" t="s">
        <v>338</v>
      </c>
      <c r="L61" s="2" t="s">
        <v>339</v>
      </c>
      <c r="M61" s="2" t="s">
        <v>259</v>
      </c>
      <c r="N61" s="2" t="s">
        <v>260</v>
      </c>
      <c r="O61" s="2" t="s">
        <v>340</v>
      </c>
    </row>
    <row r="62" customFormat="false" ht="23.85" hidden="false" customHeight="false" outlineLevel="0" collapsed="false">
      <c r="A62" s="2" t="s">
        <v>341</v>
      </c>
      <c r="B62" s="2" t="s">
        <v>200</v>
      </c>
      <c r="C62" s="2" t="n">
        <v>3</v>
      </c>
      <c r="D62" s="2" t="s">
        <v>342</v>
      </c>
      <c r="E62" s="2" t="s">
        <v>200</v>
      </c>
      <c r="F62" s="2" t="s">
        <v>343</v>
      </c>
      <c r="G62" s="3" t="n">
        <v>94</v>
      </c>
      <c r="H62" s="3" t="n">
        <v>17</v>
      </c>
      <c r="I62" s="3"/>
      <c r="J62" s="2" t="n">
        <f aca="false">G62+H62</f>
        <v>111</v>
      </c>
      <c r="K62" s="2" t="s">
        <v>344</v>
      </c>
      <c r="L62" s="2" t="s">
        <v>345</v>
      </c>
      <c r="M62" s="2" t="s">
        <v>346</v>
      </c>
      <c r="N62" s="2" t="s">
        <v>347</v>
      </c>
      <c r="O62" s="2" t="s">
        <v>348</v>
      </c>
    </row>
    <row r="63" customFormat="false" ht="23.85" hidden="false" customHeight="false" outlineLevel="0" collapsed="false">
      <c r="A63" s="2" t="s">
        <v>349</v>
      </c>
      <c r="B63" s="2" t="s">
        <v>200</v>
      </c>
      <c r="C63" s="2" t="n">
        <v>3</v>
      </c>
      <c r="D63" s="2" t="s">
        <v>342</v>
      </c>
      <c r="E63" s="2" t="s">
        <v>200</v>
      </c>
      <c r="F63" s="2" t="s">
        <v>350</v>
      </c>
      <c r="G63" s="3" t="n">
        <v>103</v>
      </c>
      <c r="H63" s="3" t="n">
        <v>21</v>
      </c>
      <c r="I63" s="3"/>
      <c r="J63" s="2" t="n">
        <f aca="false">G63+H63</f>
        <v>124</v>
      </c>
      <c r="K63" s="2" t="s">
        <v>351</v>
      </c>
      <c r="L63" s="2" t="s">
        <v>352</v>
      </c>
      <c r="M63" s="2" t="s">
        <v>353</v>
      </c>
      <c r="N63" s="2" t="s">
        <v>354</v>
      </c>
      <c r="O63" s="2" t="s">
        <v>355</v>
      </c>
    </row>
    <row r="64" customFormat="false" ht="23.85" hidden="false" customHeight="false" outlineLevel="0" collapsed="false">
      <c r="A64" s="2" t="s">
        <v>356</v>
      </c>
      <c r="B64" s="2" t="s">
        <v>200</v>
      </c>
      <c r="C64" s="2" t="n">
        <v>3</v>
      </c>
      <c r="D64" s="2" t="s">
        <v>342</v>
      </c>
      <c r="E64" s="2" t="s">
        <v>200</v>
      </c>
      <c r="F64" s="2" t="s">
        <v>357</v>
      </c>
      <c r="G64" s="3" t="n">
        <v>116</v>
      </c>
      <c r="H64" s="3" t="n">
        <v>27</v>
      </c>
      <c r="I64" s="3"/>
      <c r="J64" s="2" t="n">
        <f aca="false">G64+H64</f>
        <v>143</v>
      </c>
      <c r="K64" s="2" t="s">
        <v>358</v>
      </c>
      <c r="L64" s="2" t="s">
        <v>359</v>
      </c>
      <c r="M64" s="2" t="s">
        <v>360</v>
      </c>
      <c r="N64" s="2" t="s">
        <v>361</v>
      </c>
      <c r="O64" s="2" t="s">
        <v>362</v>
      </c>
    </row>
    <row r="65" customFormat="false" ht="23.85" hidden="false" customHeight="false" outlineLevel="0" collapsed="false">
      <c r="A65" s="2" t="s">
        <v>363</v>
      </c>
      <c r="B65" s="2" t="s">
        <v>200</v>
      </c>
      <c r="C65" s="2" t="n">
        <v>3</v>
      </c>
      <c r="D65" s="2" t="s">
        <v>342</v>
      </c>
      <c r="E65" s="2" t="s">
        <v>200</v>
      </c>
      <c r="F65" s="2" t="s">
        <v>364</v>
      </c>
      <c r="G65" s="3" t="n">
        <v>117</v>
      </c>
      <c r="H65" s="3" t="n">
        <v>37</v>
      </c>
      <c r="I65" s="3"/>
      <c r="J65" s="2" t="n">
        <f aca="false">G65-H65</f>
        <v>80</v>
      </c>
      <c r="K65" s="2" t="s">
        <v>365</v>
      </c>
      <c r="L65" s="2" t="s">
        <v>366</v>
      </c>
      <c r="M65" s="2" t="s">
        <v>367</v>
      </c>
      <c r="N65" s="2" t="s">
        <v>368</v>
      </c>
      <c r="O65" s="2" t="s">
        <v>228</v>
      </c>
    </row>
    <row r="66" customFormat="false" ht="23.85" hidden="false" customHeight="false" outlineLevel="0" collapsed="false">
      <c r="A66" s="2" t="s">
        <v>369</v>
      </c>
      <c r="B66" s="2" t="s">
        <v>200</v>
      </c>
      <c r="C66" s="2" t="n">
        <v>3</v>
      </c>
      <c r="D66" s="2" t="s">
        <v>342</v>
      </c>
      <c r="E66" s="2" t="s">
        <v>200</v>
      </c>
      <c r="F66" s="2" t="s">
        <v>370</v>
      </c>
      <c r="G66" s="3" t="n">
        <v>79</v>
      </c>
      <c r="H66" s="3" t="n">
        <v>12</v>
      </c>
      <c r="I66" s="3"/>
      <c r="J66" s="2" t="n">
        <f aca="false">G66-H66</f>
        <v>67</v>
      </c>
      <c r="K66" s="2" t="s">
        <v>371</v>
      </c>
      <c r="L66" s="2" t="s">
        <v>372</v>
      </c>
      <c r="M66" s="2" t="s">
        <v>367</v>
      </c>
      <c r="N66" s="2" t="s">
        <v>373</v>
      </c>
      <c r="O66" s="2" t="s">
        <v>228</v>
      </c>
    </row>
    <row r="67" customFormat="false" ht="23.85" hidden="false" customHeight="false" outlineLevel="0" collapsed="false">
      <c r="A67" s="2" t="s">
        <v>374</v>
      </c>
      <c r="B67" s="2" t="s">
        <v>200</v>
      </c>
      <c r="C67" s="2" t="n">
        <v>3</v>
      </c>
      <c r="D67" s="2" t="s">
        <v>342</v>
      </c>
      <c r="E67" s="2" t="s">
        <v>200</v>
      </c>
      <c r="F67" s="2" t="s">
        <v>375</v>
      </c>
      <c r="G67" s="3" t="n">
        <v>92</v>
      </c>
      <c r="H67" s="3" t="n">
        <v>25</v>
      </c>
      <c r="I67" s="3"/>
      <c r="J67" s="2" t="n">
        <f aca="false">G67-H67</f>
        <v>67</v>
      </c>
      <c r="K67" s="2" t="s">
        <v>376</v>
      </c>
      <c r="L67" s="2" t="s">
        <v>377</v>
      </c>
      <c r="M67" s="2" t="s">
        <v>378</v>
      </c>
      <c r="N67" s="2" t="s">
        <v>379</v>
      </c>
      <c r="O67" s="2" t="s">
        <v>228</v>
      </c>
    </row>
    <row r="68" customFormat="false" ht="23.85" hidden="false" customHeight="false" outlineLevel="0" collapsed="false">
      <c r="A68" s="2" t="s">
        <v>380</v>
      </c>
      <c r="B68" s="2" t="s">
        <v>200</v>
      </c>
      <c r="C68" s="2" t="n">
        <v>3</v>
      </c>
      <c r="D68" s="2" t="s">
        <v>342</v>
      </c>
      <c r="E68" s="2" t="s">
        <v>200</v>
      </c>
      <c r="F68" s="2" t="s">
        <v>381</v>
      </c>
      <c r="G68" s="3" t="n">
        <v>53</v>
      </c>
      <c r="H68" s="3" t="n">
        <v>23</v>
      </c>
      <c r="I68" s="3"/>
      <c r="J68" s="2" t="n">
        <f aca="false">G68-H68</f>
        <v>30</v>
      </c>
      <c r="K68" s="2" t="s">
        <v>382</v>
      </c>
      <c r="L68" s="2" t="s">
        <v>383</v>
      </c>
      <c r="M68" s="2" t="s">
        <v>245</v>
      </c>
      <c r="N68" s="2" t="s">
        <v>246</v>
      </c>
      <c r="O68" s="2" t="s">
        <v>43</v>
      </c>
    </row>
    <row r="69" customFormat="false" ht="23.85" hidden="false" customHeight="false" outlineLevel="0" collapsed="false">
      <c r="A69" s="2" t="s">
        <v>384</v>
      </c>
      <c r="B69" s="2" t="s">
        <v>200</v>
      </c>
      <c r="C69" s="2" t="n">
        <v>3</v>
      </c>
      <c r="D69" s="2" t="s">
        <v>342</v>
      </c>
      <c r="E69" s="2" t="s">
        <v>200</v>
      </c>
      <c r="F69" s="2" t="s">
        <v>385</v>
      </c>
      <c r="G69" s="3" t="n">
        <v>118</v>
      </c>
      <c r="H69" s="3" t="n">
        <v>18</v>
      </c>
      <c r="I69" s="3"/>
      <c r="J69" s="2" t="n">
        <f aca="false">G69-H69</f>
        <v>100</v>
      </c>
      <c r="K69" s="2" t="s">
        <v>386</v>
      </c>
      <c r="L69" s="2" t="s">
        <v>387</v>
      </c>
      <c r="M69" s="2" t="s">
        <v>245</v>
      </c>
      <c r="N69" s="2" t="s">
        <v>246</v>
      </c>
      <c r="O69" s="2" t="s">
        <v>43</v>
      </c>
    </row>
    <row r="70" customFormat="false" ht="23.85" hidden="false" customHeight="false" outlineLevel="0" collapsed="false">
      <c r="A70" s="2" t="s">
        <v>388</v>
      </c>
      <c r="B70" s="2" t="s">
        <v>200</v>
      </c>
      <c r="C70" s="2" t="n">
        <v>3</v>
      </c>
      <c r="D70" s="2" t="s">
        <v>342</v>
      </c>
      <c r="E70" s="2" t="s">
        <v>200</v>
      </c>
      <c r="F70" s="2" t="s">
        <v>389</v>
      </c>
      <c r="G70" s="3" t="n">
        <v>85</v>
      </c>
      <c r="H70" s="3" t="n">
        <v>29</v>
      </c>
      <c r="I70" s="3"/>
      <c r="J70" s="2" t="n">
        <f aca="false">G70-H70</f>
        <v>56</v>
      </c>
      <c r="K70" s="2" t="s">
        <v>390</v>
      </c>
      <c r="L70" s="2" t="s">
        <v>391</v>
      </c>
      <c r="M70" s="2" t="s">
        <v>245</v>
      </c>
      <c r="N70" s="2" t="s">
        <v>246</v>
      </c>
      <c r="O70" s="2" t="s">
        <v>43</v>
      </c>
    </row>
    <row r="71" customFormat="false" ht="23.85" hidden="false" customHeight="false" outlineLevel="0" collapsed="false">
      <c r="A71" s="2" t="s">
        <v>392</v>
      </c>
      <c r="B71" s="2" t="s">
        <v>200</v>
      </c>
      <c r="C71" s="2" t="n">
        <v>3</v>
      </c>
      <c r="D71" s="2" t="s">
        <v>342</v>
      </c>
      <c r="E71" s="2" t="s">
        <v>200</v>
      </c>
      <c r="F71" s="2" t="s">
        <v>393</v>
      </c>
      <c r="G71" s="3" t="n">
        <v>87</v>
      </c>
      <c r="H71" s="3" t="n">
        <v>30</v>
      </c>
      <c r="I71" s="3"/>
      <c r="J71" s="2" t="n">
        <f aca="false">2*G71+H71</f>
        <v>204</v>
      </c>
      <c r="K71" s="2" t="s">
        <v>394</v>
      </c>
      <c r="L71" s="2" t="s">
        <v>395</v>
      </c>
      <c r="M71" s="2" t="s">
        <v>329</v>
      </c>
      <c r="N71" s="2" t="s">
        <v>260</v>
      </c>
      <c r="O71" s="2" t="s">
        <v>396</v>
      </c>
    </row>
    <row r="72" customFormat="false" ht="23.85" hidden="false" customHeight="false" outlineLevel="0" collapsed="false">
      <c r="A72" s="2" t="s">
        <v>397</v>
      </c>
      <c r="B72" s="2" t="s">
        <v>200</v>
      </c>
      <c r="C72" s="2" t="n">
        <v>3</v>
      </c>
      <c r="D72" s="2" t="s">
        <v>342</v>
      </c>
      <c r="E72" s="2" t="s">
        <v>200</v>
      </c>
      <c r="F72" s="2" t="s">
        <v>398</v>
      </c>
      <c r="G72" s="3" t="n">
        <v>66</v>
      </c>
      <c r="H72" s="3" t="n">
        <v>15</v>
      </c>
      <c r="I72" s="3"/>
      <c r="J72" s="2" t="n">
        <f aca="false">2*G72+H72</f>
        <v>147</v>
      </c>
      <c r="K72" s="2" t="s">
        <v>399</v>
      </c>
      <c r="L72" s="2" t="s">
        <v>400</v>
      </c>
      <c r="M72" s="2" t="s">
        <v>272</v>
      </c>
      <c r="N72" s="2" t="s">
        <v>260</v>
      </c>
      <c r="O72" s="2" t="s">
        <v>401</v>
      </c>
    </row>
    <row r="73" customFormat="false" ht="23.85" hidden="false" customHeight="false" outlineLevel="0" collapsed="false">
      <c r="A73" s="2" t="s">
        <v>402</v>
      </c>
      <c r="B73" s="2" t="s">
        <v>200</v>
      </c>
      <c r="C73" s="2" t="n">
        <v>3</v>
      </c>
      <c r="D73" s="2" t="s">
        <v>342</v>
      </c>
      <c r="E73" s="2" t="s">
        <v>200</v>
      </c>
      <c r="F73" s="2" t="s">
        <v>403</v>
      </c>
      <c r="G73" s="3" t="n">
        <v>71</v>
      </c>
      <c r="H73" s="3" t="n">
        <v>15</v>
      </c>
      <c r="I73" s="3"/>
      <c r="J73" s="2" t="n">
        <f aca="false">2*G73+H73</f>
        <v>157</v>
      </c>
      <c r="K73" s="2" t="s">
        <v>404</v>
      </c>
      <c r="L73" s="2" t="s">
        <v>405</v>
      </c>
      <c r="M73" s="2" t="s">
        <v>406</v>
      </c>
      <c r="N73" s="2" t="s">
        <v>260</v>
      </c>
      <c r="O73" s="2" t="s">
        <v>407</v>
      </c>
    </row>
    <row r="74" customFormat="false" ht="23.85" hidden="false" customHeight="false" outlineLevel="0" collapsed="false">
      <c r="A74" s="2" t="s">
        <v>408</v>
      </c>
      <c r="B74" s="2" t="s">
        <v>409</v>
      </c>
      <c r="C74" s="2" t="n">
        <v>1</v>
      </c>
      <c r="D74" s="2" t="s">
        <v>342</v>
      </c>
      <c r="E74" s="2" t="s">
        <v>410</v>
      </c>
      <c r="F74" s="2" t="s">
        <v>411</v>
      </c>
      <c r="G74" s="3" t="n">
        <v>8</v>
      </c>
      <c r="H74" s="3" t="n">
        <v>2</v>
      </c>
      <c r="I74" s="3" t="n">
        <v>1</v>
      </c>
      <c r="J74" s="2" t="n">
        <f aca="false">G74/H74*I74</f>
        <v>4</v>
      </c>
      <c r="K74" s="2" t="s">
        <v>412</v>
      </c>
      <c r="L74" s="2" t="s">
        <v>413</v>
      </c>
      <c r="M74" s="2" t="s">
        <v>414</v>
      </c>
      <c r="N74" s="2" t="s">
        <v>415</v>
      </c>
      <c r="O74" s="2" t="s">
        <v>416</v>
      </c>
    </row>
    <row r="75" customFormat="false" ht="23.85" hidden="false" customHeight="false" outlineLevel="0" collapsed="false">
      <c r="A75" s="2" t="s">
        <v>417</v>
      </c>
      <c r="B75" s="2" t="s">
        <v>409</v>
      </c>
      <c r="C75" s="2" t="n">
        <v>1</v>
      </c>
      <c r="D75" s="2" t="s">
        <v>342</v>
      </c>
      <c r="E75" s="2" t="s">
        <v>410</v>
      </c>
      <c r="F75" s="2" t="s">
        <v>418</v>
      </c>
      <c r="G75" s="3" t="n">
        <v>12</v>
      </c>
      <c r="H75" s="3" t="n">
        <v>2</v>
      </c>
      <c r="I75" s="3" t="n">
        <v>1</v>
      </c>
      <c r="J75" s="2" t="n">
        <f aca="false">G75/H75*I75</f>
        <v>6</v>
      </c>
      <c r="K75" s="2" t="s">
        <v>419</v>
      </c>
      <c r="L75" s="2" t="s">
        <v>420</v>
      </c>
      <c r="M75" s="2" t="s">
        <v>414</v>
      </c>
      <c r="N75" s="2" t="s">
        <v>415</v>
      </c>
      <c r="O75" s="2" t="s">
        <v>416</v>
      </c>
    </row>
    <row r="76" customFormat="false" ht="23.85" hidden="false" customHeight="false" outlineLevel="0" collapsed="false">
      <c r="A76" s="2" t="s">
        <v>421</v>
      </c>
      <c r="B76" s="2" t="s">
        <v>409</v>
      </c>
      <c r="C76" s="2" t="n">
        <v>1</v>
      </c>
      <c r="D76" s="2" t="s">
        <v>342</v>
      </c>
      <c r="E76" s="2" t="s">
        <v>410</v>
      </c>
      <c r="F76" s="2" t="s">
        <v>422</v>
      </c>
      <c r="G76" s="3" t="n">
        <v>16</v>
      </c>
      <c r="H76" s="3" t="n">
        <v>4</v>
      </c>
      <c r="I76" s="3" t="n">
        <v>3</v>
      </c>
      <c r="J76" s="2" t="n">
        <f aca="false">G76/H76*I76</f>
        <v>12</v>
      </c>
      <c r="K76" s="2" t="s">
        <v>423</v>
      </c>
      <c r="L76" s="2" t="s">
        <v>424</v>
      </c>
      <c r="M76" s="2" t="s">
        <v>414</v>
      </c>
      <c r="N76" s="2" t="s">
        <v>425</v>
      </c>
      <c r="O76" s="2" t="s">
        <v>416</v>
      </c>
    </row>
    <row r="77" customFormat="false" ht="23.85" hidden="false" customHeight="false" outlineLevel="0" collapsed="false">
      <c r="A77" s="2" t="s">
        <v>426</v>
      </c>
      <c r="B77" s="2" t="s">
        <v>409</v>
      </c>
      <c r="C77" s="2" t="n">
        <v>1</v>
      </c>
      <c r="D77" s="2" t="s">
        <v>342</v>
      </c>
      <c r="E77" s="2" t="s">
        <v>410</v>
      </c>
      <c r="F77" s="2" t="s">
        <v>427</v>
      </c>
      <c r="G77" s="3" t="n">
        <v>20</v>
      </c>
      <c r="H77" s="3" t="n">
        <v>4</v>
      </c>
      <c r="I77" s="3" t="n">
        <v>1</v>
      </c>
      <c r="J77" s="2" t="n">
        <f aca="false">G77-G77/H77*I77</f>
        <v>15</v>
      </c>
      <c r="K77" s="2" t="s">
        <v>428</v>
      </c>
      <c r="L77" s="2" t="s">
        <v>429</v>
      </c>
      <c r="M77" s="2" t="s">
        <v>430</v>
      </c>
      <c r="N77" s="2" t="s">
        <v>431</v>
      </c>
      <c r="O77" s="2" t="s">
        <v>432</v>
      </c>
    </row>
    <row r="78" customFormat="false" ht="23.85" hidden="false" customHeight="false" outlineLevel="0" collapsed="false">
      <c r="A78" s="2" t="s">
        <v>433</v>
      </c>
      <c r="B78" s="2" t="s">
        <v>409</v>
      </c>
      <c r="C78" s="2" t="n">
        <v>1</v>
      </c>
      <c r="D78" s="2" t="s">
        <v>342</v>
      </c>
      <c r="E78" s="2" t="s">
        <v>410</v>
      </c>
      <c r="F78" s="2" t="s">
        <v>434</v>
      </c>
      <c r="G78" s="3" t="n">
        <v>4</v>
      </c>
      <c r="H78" s="3" t="n">
        <v>2</v>
      </c>
      <c r="I78" s="3" t="n">
        <v>1</v>
      </c>
      <c r="J78" s="2" t="n">
        <f aca="false">G78-G78/H78*I78</f>
        <v>2</v>
      </c>
      <c r="K78" s="2" t="s">
        <v>435</v>
      </c>
      <c r="L78" s="2" t="s">
        <v>436</v>
      </c>
      <c r="M78" s="2" t="s">
        <v>430</v>
      </c>
      <c r="N78" s="2" t="s">
        <v>431</v>
      </c>
      <c r="O78" s="2" t="s">
        <v>432</v>
      </c>
    </row>
    <row r="79" customFormat="false" ht="23.85" hidden="false" customHeight="false" outlineLevel="0" collapsed="false">
      <c r="A79" s="2" t="s">
        <v>437</v>
      </c>
      <c r="B79" s="2" t="s">
        <v>409</v>
      </c>
      <c r="C79" s="2" t="n">
        <v>1</v>
      </c>
      <c r="D79" s="2" t="s">
        <v>342</v>
      </c>
      <c r="E79" s="2" t="s">
        <v>410</v>
      </c>
      <c r="F79" s="2" t="s">
        <v>438</v>
      </c>
      <c r="G79" s="3" t="n">
        <v>12</v>
      </c>
      <c r="H79" s="3" t="n">
        <v>2</v>
      </c>
      <c r="I79" s="3" t="n">
        <v>1</v>
      </c>
      <c r="J79" s="2" t="n">
        <f aca="false">G79-G79/H79*I79</f>
        <v>6</v>
      </c>
      <c r="K79" s="2" t="s">
        <v>439</v>
      </c>
      <c r="L79" s="2" t="s">
        <v>440</v>
      </c>
      <c r="M79" s="2" t="s">
        <v>430</v>
      </c>
      <c r="N79" s="2" t="s">
        <v>431</v>
      </c>
      <c r="O79" s="2" t="s">
        <v>432</v>
      </c>
    </row>
    <row r="80" customFormat="false" ht="23.85" hidden="false" customHeight="false" outlineLevel="0" collapsed="false">
      <c r="A80" s="2" t="s">
        <v>441</v>
      </c>
      <c r="B80" s="2" t="s">
        <v>409</v>
      </c>
      <c r="C80" s="2" t="n">
        <v>1</v>
      </c>
      <c r="D80" s="2" t="s">
        <v>342</v>
      </c>
      <c r="E80" s="2" t="s">
        <v>410</v>
      </c>
      <c r="F80" s="2" t="s">
        <v>442</v>
      </c>
      <c r="G80" s="3" t="n">
        <v>20</v>
      </c>
      <c r="H80" s="3" t="n">
        <v>4</v>
      </c>
      <c r="I80" s="3" t="n">
        <v>1</v>
      </c>
      <c r="J80" s="2" t="n">
        <f aca="false">G80-G80/H80</f>
        <v>15</v>
      </c>
      <c r="K80" s="2" t="s">
        <v>443</v>
      </c>
      <c r="L80" s="2" t="s">
        <v>444</v>
      </c>
      <c r="M80" s="2" t="s">
        <v>445</v>
      </c>
      <c r="N80" s="2" t="s">
        <v>446</v>
      </c>
      <c r="O80" s="2" t="s">
        <v>447</v>
      </c>
    </row>
    <row r="81" customFormat="false" ht="23.85" hidden="false" customHeight="false" outlineLevel="0" collapsed="false">
      <c r="A81" s="2" t="s">
        <v>448</v>
      </c>
      <c r="B81" s="2" t="s">
        <v>409</v>
      </c>
      <c r="C81" s="2" t="n">
        <v>1</v>
      </c>
      <c r="D81" s="2" t="s">
        <v>342</v>
      </c>
      <c r="E81" s="2" t="s">
        <v>410</v>
      </c>
      <c r="F81" s="2" t="s">
        <v>449</v>
      </c>
      <c r="G81" s="3" t="n">
        <v>10</v>
      </c>
      <c r="H81" s="3" t="n">
        <v>2</v>
      </c>
      <c r="I81" s="3" t="n">
        <v>1</v>
      </c>
      <c r="J81" s="2" t="n">
        <f aca="false">G81-G81/H81</f>
        <v>5</v>
      </c>
      <c r="K81" s="2" t="s">
        <v>450</v>
      </c>
      <c r="L81" s="2" t="s">
        <v>451</v>
      </c>
      <c r="M81" s="2" t="s">
        <v>445</v>
      </c>
      <c r="N81" s="2" t="s">
        <v>452</v>
      </c>
      <c r="O81" s="2" t="s">
        <v>447</v>
      </c>
    </row>
    <row r="82" customFormat="false" ht="23.85" hidden="false" customHeight="false" outlineLevel="0" collapsed="false">
      <c r="A82" s="2" t="s">
        <v>453</v>
      </c>
      <c r="B82" s="2" t="s">
        <v>409</v>
      </c>
      <c r="C82" s="2" t="n">
        <v>1</v>
      </c>
      <c r="D82" s="2" t="s">
        <v>342</v>
      </c>
      <c r="E82" s="2" t="s">
        <v>410</v>
      </c>
      <c r="F82" s="2" t="s">
        <v>454</v>
      </c>
      <c r="G82" s="3" t="n">
        <v>12</v>
      </c>
      <c r="H82" s="3" t="n">
        <v>2</v>
      </c>
      <c r="I82" s="3" t="n">
        <v>1</v>
      </c>
      <c r="J82" s="2" t="n">
        <f aca="false">G82-G82/H82</f>
        <v>6</v>
      </c>
      <c r="K82" s="2" t="s">
        <v>455</v>
      </c>
      <c r="L82" s="2" t="s">
        <v>456</v>
      </c>
      <c r="M82" s="2" t="s">
        <v>445</v>
      </c>
      <c r="N82" s="2" t="s">
        <v>452</v>
      </c>
      <c r="O82" s="2" t="s">
        <v>447</v>
      </c>
    </row>
    <row r="83" customFormat="false" ht="23.85" hidden="false" customHeight="false" outlineLevel="0" collapsed="false">
      <c r="A83" s="2" t="s">
        <v>457</v>
      </c>
      <c r="B83" s="2" t="s">
        <v>409</v>
      </c>
      <c r="C83" s="2" t="n">
        <v>1</v>
      </c>
      <c r="D83" s="2" t="s">
        <v>342</v>
      </c>
      <c r="E83" s="2" t="s">
        <v>410</v>
      </c>
      <c r="F83" s="2" t="s">
        <v>458</v>
      </c>
      <c r="G83" s="3" t="n">
        <v>4</v>
      </c>
      <c r="H83" s="3" t="n">
        <v>2</v>
      </c>
      <c r="I83" s="3" t="n">
        <v>1</v>
      </c>
      <c r="J83" s="2" t="n">
        <f aca="false">G83/I83*H83</f>
        <v>8</v>
      </c>
      <c r="K83" s="2" t="s">
        <v>459</v>
      </c>
      <c r="L83" s="2" t="s">
        <v>460</v>
      </c>
      <c r="M83" s="2" t="s">
        <v>461</v>
      </c>
      <c r="N83" s="2" t="s">
        <v>462</v>
      </c>
      <c r="O83" s="2" t="s">
        <v>463</v>
      </c>
    </row>
    <row r="84" customFormat="false" ht="23.85" hidden="false" customHeight="false" outlineLevel="0" collapsed="false">
      <c r="A84" s="2" t="s">
        <v>464</v>
      </c>
      <c r="B84" s="2" t="s">
        <v>409</v>
      </c>
      <c r="C84" s="2" t="n">
        <v>1</v>
      </c>
      <c r="D84" s="2" t="s">
        <v>342</v>
      </c>
      <c r="E84" s="2" t="s">
        <v>410</v>
      </c>
      <c r="F84" s="2" t="s">
        <v>465</v>
      </c>
      <c r="G84" s="3" t="n">
        <v>5</v>
      </c>
      <c r="H84" s="3" t="n">
        <v>4</v>
      </c>
      <c r="I84" s="3" t="n">
        <v>1</v>
      </c>
      <c r="J84" s="2" t="n">
        <f aca="false">G84/I84*H84</f>
        <v>20</v>
      </c>
      <c r="K84" s="2" t="s">
        <v>466</v>
      </c>
      <c r="L84" s="2" t="s">
        <v>467</v>
      </c>
      <c r="M84" s="2" t="s">
        <v>468</v>
      </c>
      <c r="N84" s="2" t="s">
        <v>469</v>
      </c>
      <c r="O84" s="2" t="s">
        <v>463</v>
      </c>
    </row>
    <row r="85" customFormat="false" ht="23.85" hidden="false" customHeight="false" outlineLevel="0" collapsed="false">
      <c r="A85" s="2" t="s">
        <v>470</v>
      </c>
      <c r="B85" s="2" t="s">
        <v>409</v>
      </c>
      <c r="C85" s="2" t="n">
        <v>1</v>
      </c>
      <c r="D85" s="2" t="s">
        <v>342</v>
      </c>
      <c r="E85" s="2" t="s">
        <v>410</v>
      </c>
      <c r="F85" s="2" t="s">
        <v>471</v>
      </c>
      <c r="G85" s="3" t="n">
        <v>6</v>
      </c>
      <c r="H85" s="3" t="n">
        <v>4</v>
      </c>
      <c r="I85" s="3" t="n">
        <v>3</v>
      </c>
      <c r="J85" s="2" t="n">
        <f aca="false">G85/I85*H85</f>
        <v>8</v>
      </c>
      <c r="K85" s="2" t="s">
        <v>472</v>
      </c>
      <c r="L85" s="2" t="s">
        <v>473</v>
      </c>
      <c r="M85" s="2" t="s">
        <v>474</v>
      </c>
      <c r="N85" s="2" t="s">
        <v>469</v>
      </c>
      <c r="O85" s="2" t="s">
        <v>463</v>
      </c>
    </row>
    <row r="86" customFormat="false" ht="23.85" hidden="false" customHeight="false" outlineLevel="0" collapsed="false">
      <c r="A86" s="2" t="s">
        <v>475</v>
      </c>
      <c r="B86" s="2" t="s">
        <v>409</v>
      </c>
      <c r="C86" s="2" t="n">
        <v>2</v>
      </c>
      <c r="D86" s="2" t="s">
        <v>476</v>
      </c>
      <c r="E86" s="2" t="s">
        <v>410</v>
      </c>
      <c r="F86" s="2" t="s">
        <v>477</v>
      </c>
      <c r="G86" s="3" t="n">
        <v>20</v>
      </c>
      <c r="H86" s="3" t="n">
        <v>5</v>
      </c>
      <c r="I86" s="3" t="n">
        <v>3</v>
      </c>
      <c r="J86" s="2" t="n">
        <f aca="false">G86/H86*I86</f>
        <v>12</v>
      </c>
      <c r="K86" s="2" t="s">
        <v>478</v>
      </c>
      <c r="L86" s="2" t="s">
        <v>479</v>
      </c>
      <c r="M86" s="2" t="s">
        <v>414</v>
      </c>
      <c r="N86" s="2" t="s">
        <v>425</v>
      </c>
      <c r="O86" s="2" t="s">
        <v>416</v>
      </c>
    </row>
    <row r="87" customFormat="false" ht="23.85" hidden="false" customHeight="false" outlineLevel="0" collapsed="false">
      <c r="A87" s="2" t="s">
        <v>480</v>
      </c>
      <c r="B87" s="2" t="s">
        <v>409</v>
      </c>
      <c r="C87" s="2" t="n">
        <v>2</v>
      </c>
      <c r="D87" s="2" t="s">
        <v>476</v>
      </c>
      <c r="E87" s="2" t="s">
        <v>410</v>
      </c>
      <c r="F87" s="2" t="s">
        <v>481</v>
      </c>
      <c r="G87" s="3" t="n">
        <v>24</v>
      </c>
      <c r="H87" s="3" t="n">
        <v>8</v>
      </c>
      <c r="I87" s="3" t="n">
        <v>2</v>
      </c>
      <c r="J87" s="2" t="n">
        <f aca="false">G87/H87*I87</f>
        <v>6</v>
      </c>
      <c r="K87" s="2" t="s">
        <v>482</v>
      </c>
      <c r="L87" s="2" t="s">
        <v>483</v>
      </c>
      <c r="M87" s="2" t="s">
        <v>414</v>
      </c>
      <c r="N87" s="2" t="s">
        <v>484</v>
      </c>
      <c r="O87" s="2" t="s">
        <v>416</v>
      </c>
    </row>
    <row r="88" customFormat="false" ht="23.85" hidden="false" customHeight="false" outlineLevel="0" collapsed="false">
      <c r="A88" s="2" t="s">
        <v>485</v>
      </c>
      <c r="B88" s="2" t="s">
        <v>409</v>
      </c>
      <c r="C88" s="2" t="n">
        <v>2</v>
      </c>
      <c r="D88" s="2" t="s">
        <v>476</v>
      </c>
      <c r="E88" s="2" t="s">
        <v>410</v>
      </c>
      <c r="F88" s="2" t="s">
        <v>486</v>
      </c>
      <c r="G88" s="3" t="n">
        <v>24</v>
      </c>
      <c r="H88" s="3" t="n">
        <v>8</v>
      </c>
      <c r="I88" s="3" t="n">
        <v>2</v>
      </c>
      <c r="J88" s="2" t="n">
        <f aca="false">G88/H88*I88</f>
        <v>6</v>
      </c>
      <c r="K88" s="2" t="s">
        <v>482</v>
      </c>
      <c r="L88" s="2" t="s">
        <v>483</v>
      </c>
      <c r="M88" s="2" t="s">
        <v>414</v>
      </c>
      <c r="N88" s="2" t="s">
        <v>484</v>
      </c>
      <c r="O88" s="2" t="s">
        <v>416</v>
      </c>
    </row>
    <row r="89" customFormat="false" ht="23.85" hidden="false" customHeight="false" outlineLevel="0" collapsed="false">
      <c r="A89" s="2" t="s">
        <v>487</v>
      </c>
      <c r="B89" s="2" t="s">
        <v>409</v>
      </c>
      <c r="C89" s="2" t="n">
        <v>2</v>
      </c>
      <c r="D89" s="2" t="s">
        <v>476</v>
      </c>
      <c r="E89" s="2" t="s">
        <v>410</v>
      </c>
      <c r="F89" s="2" t="s">
        <v>488</v>
      </c>
      <c r="G89" s="3" t="n">
        <v>32</v>
      </c>
      <c r="H89" s="3" t="n">
        <v>8</v>
      </c>
      <c r="I89" s="3" t="n">
        <v>2</v>
      </c>
      <c r="J89" s="2" t="n">
        <f aca="false">G89-G89/H89*I89</f>
        <v>24</v>
      </c>
      <c r="K89" s="2" t="s">
        <v>489</v>
      </c>
      <c r="L89" s="2" t="s">
        <v>490</v>
      </c>
      <c r="M89" s="2" t="s">
        <v>430</v>
      </c>
      <c r="N89" s="2" t="s">
        <v>431</v>
      </c>
      <c r="O89" s="2" t="s">
        <v>432</v>
      </c>
    </row>
    <row r="90" customFormat="false" ht="23.85" hidden="false" customHeight="false" outlineLevel="0" collapsed="false">
      <c r="A90" s="2" t="s">
        <v>491</v>
      </c>
      <c r="B90" s="2" t="s">
        <v>409</v>
      </c>
      <c r="C90" s="2" t="n">
        <v>2</v>
      </c>
      <c r="D90" s="2" t="s">
        <v>476</v>
      </c>
      <c r="E90" s="2" t="s">
        <v>410</v>
      </c>
      <c r="F90" s="2" t="s">
        <v>492</v>
      </c>
      <c r="G90" s="3" t="n">
        <v>64</v>
      </c>
      <c r="H90" s="3" t="n">
        <v>8</v>
      </c>
      <c r="I90" s="3" t="n">
        <v>6</v>
      </c>
      <c r="J90" s="2" t="n">
        <f aca="false">G90-G90/H90*I90</f>
        <v>16</v>
      </c>
      <c r="K90" s="2" t="s">
        <v>493</v>
      </c>
      <c r="L90" s="2" t="s">
        <v>494</v>
      </c>
      <c r="M90" s="2" t="s">
        <v>430</v>
      </c>
      <c r="N90" s="2" t="s">
        <v>431</v>
      </c>
      <c r="O90" s="2" t="s">
        <v>432</v>
      </c>
    </row>
    <row r="91" customFormat="false" ht="23.85" hidden="false" customHeight="false" outlineLevel="0" collapsed="false">
      <c r="A91" s="2" t="s">
        <v>495</v>
      </c>
      <c r="B91" s="2" t="s">
        <v>409</v>
      </c>
      <c r="C91" s="2" t="n">
        <v>2</v>
      </c>
      <c r="D91" s="2" t="s">
        <v>476</v>
      </c>
      <c r="E91" s="2" t="s">
        <v>410</v>
      </c>
      <c r="F91" s="2" t="s">
        <v>496</v>
      </c>
      <c r="G91" s="3" t="n">
        <v>15</v>
      </c>
      <c r="H91" s="3" t="n">
        <v>5</v>
      </c>
      <c r="I91" s="3" t="n">
        <v>2</v>
      </c>
      <c r="J91" s="2" t="n">
        <f aca="false">G91-G91/H91*I91</f>
        <v>9</v>
      </c>
      <c r="K91" s="2" t="s">
        <v>497</v>
      </c>
      <c r="L91" s="2" t="s">
        <v>498</v>
      </c>
      <c r="M91" s="2" t="s">
        <v>430</v>
      </c>
      <c r="N91" s="2" t="s">
        <v>431</v>
      </c>
      <c r="O91" s="2" t="s">
        <v>432</v>
      </c>
    </row>
    <row r="92" customFormat="false" ht="23.85" hidden="false" customHeight="false" outlineLevel="0" collapsed="false">
      <c r="A92" s="2" t="s">
        <v>499</v>
      </c>
      <c r="B92" s="2" t="s">
        <v>409</v>
      </c>
      <c r="C92" s="2" t="n">
        <v>2</v>
      </c>
      <c r="D92" s="2" t="s">
        <v>476</v>
      </c>
      <c r="E92" s="2" t="s">
        <v>410</v>
      </c>
      <c r="F92" s="2" t="s">
        <v>500</v>
      </c>
      <c r="G92" s="3" t="n">
        <v>45</v>
      </c>
      <c r="H92" s="3" t="n">
        <v>5</v>
      </c>
      <c r="I92" s="3" t="n">
        <v>1</v>
      </c>
      <c r="J92" s="2" t="n">
        <f aca="false">G92-G92/H92</f>
        <v>36</v>
      </c>
      <c r="K92" s="2" t="s">
        <v>501</v>
      </c>
      <c r="L92" s="2" t="s">
        <v>502</v>
      </c>
      <c r="M92" s="2" t="s">
        <v>445</v>
      </c>
      <c r="N92" s="2" t="s">
        <v>503</v>
      </c>
      <c r="O92" s="2" t="s">
        <v>447</v>
      </c>
    </row>
    <row r="93" customFormat="false" ht="23.85" hidden="false" customHeight="false" outlineLevel="0" collapsed="false">
      <c r="A93" s="2" t="s">
        <v>504</v>
      </c>
      <c r="B93" s="2" t="s">
        <v>409</v>
      </c>
      <c r="C93" s="2" t="n">
        <v>2</v>
      </c>
      <c r="D93" s="2" t="s">
        <v>476</v>
      </c>
      <c r="E93" s="2" t="s">
        <v>410</v>
      </c>
      <c r="F93" s="2" t="s">
        <v>505</v>
      </c>
      <c r="G93" s="3" t="n">
        <v>27</v>
      </c>
      <c r="H93" s="3" t="n">
        <v>3</v>
      </c>
      <c r="I93" s="3" t="n">
        <v>1</v>
      </c>
      <c r="J93" s="2" t="n">
        <f aca="false">G93-G93/H93</f>
        <v>18</v>
      </c>
      <c r="K93" s="2" t="s">
        <v>506</v>
      </c>
      <c r="L93" s="2" t="s">
        <v>507</v>
      </c>
      <c r="M93" s="2" t="s">
        <v>445</v>
      </c>
      <c r="N93" s="2" t="s">
        <v>508</v>
      </c>
      <c r="O93" s="2" t="s">
        <v>447</v>
      </c>
    </row>
    <row r="94" customFormat="false" ht="23.85" hidden="false" customHeight="false" outlineLevel="0" collapsed="false">
      <c r="A94" s="2" t="s">
        <v>509</v>
      </c>
      <c r="B94" s="2" t="s">
        <v>409</v>
      </c>
      <c r="C94" s="2" t="n">
        <v>2</v>
      </c>
      <c r="D94" s="2" t="s">
        <v>476</v>
      </c>
      <c r="E94" s="2" t="s">
        <v>410</v>
      </c>
      <c r="F94" s="2" t="s">
        <v>510</v>
      </c>
      <c r="G94" s="3" t="n">
        <v>15</v>
      </c>
      <c r="H94" s="3" t="n">
        <v>3</v>
      </c>
      <c r="I94" s="3" t="n">
        <v>1</v>
      </c>
      <c r="J94" s="2" t="n">
        <f aca="false">G94-G94/H94</f>
        <v>10</v>
      </c>
      <c r="K94" s="2" t="s">
        <v>511</v>
      </c>
      <c r="L94" s="2" t="s">
        <v>512</v>
      </c>
      <c r="M94" s="2" t="s">
        <v>445</v>
      </c>
      <c r="N94" s="2" t="s">
        <v>508</v>
      </c>
      <c r="O94" s="2" t="s">
        <v>447</v>
      </c>
    </row>
    <row r="95" customFormat="false" ht="23.85" hidden="false" customHeight="false" outlineLevel="0" collapsed="false">
      <c r="A95" s="2" t="s">
        <v>513</v>
      </c>
      <c r="B95" s="2" t="s">
        <v>409</v>
      </c>
      <c r="C95" s="2" t="n">
        <v>2</v>
      </c>
      <c r="D95" s="2" t="s">
        <v>476</v>
      </c>
      <c r="E95" s="2" t="s">
        <v>410</v>
      </c>
      <c r="F95" s="2" t="s">
        <v>514</v>
      </c>
      <c r="G95" s="3" t="n">
        <v>18</v>
      </c>
      <c r="H95" s="3" t="n">
        <v>8</v>
      </c>
      <c r="I95" s="3" t="n">
        <v>2</v>
      </c>
      <c r="J95" s="2" t="n">
        <f aca="false">G95/I95*H95</f>
        <v>72</v>
      </c>
      <c r="K95" s="2" t="s">
        <v>515</v>
      </c>
      <c r="L95" s="2" t="s">
        <v>516</v>
      </c>
      <c r="M95" s="2" t="s">
        <v>517</v>
      </c>
      <c r="N95" s="2" t="s">
        <v>518</v>
      </c>
      <c r="O95" s="2" t="s">
        <v>463</v>
      </c>
    </row>
    <row r="96" customFormat="false" ht="23.85" hidden="false" customHeight="false" outlineLevel="0" collapsed="false">
      <c r="A96" s="2" t="s">
        <v>519</v>
      </c>
      <c r="B96" s="2" t="s">
        <v>409</v>
      </c>
      <c r="C96" s="2" t="n">
        <v>2</v>
      </c>
      <c r="D96" s="2" t="s">
        <v>476</v>
      </c>
      <c r="E96" s="2" t="s">
        <v>410</v>
      </c>
      <c r="F96" s="2" t="s">
        <v>520</v>
      </c>
      <c r="G96" s="3" t="n">
        <v>6</v>
      </c>
      <c r="H96" s="3" t="n">
        <v>3</v>
      </c>
      <c r="I96" s="3" t="n">
        <v>2</v>
      </c>
      <c r="J96" s="2" t="n">
        <f aca="false">G96/I96*H96</f>
        <v>9</v>
      </c>
      <c r="K96" s="2" t="s">
        <v>521</v>
      </c>
      <c r="L96" s="2" t="s">
        <v>522</v>
      </c>
      <c r="M96" s="2" t="s">
        <v>523</v>
      </c>
      <c r="N96" s="2" t="s">
        <v>524</v>
      </c>
      <c r="O96" s="2" t="s">
        <v>463</v>
      </c>
    </row>
    <row r="97" customFormat="false" ht="23.85" hidden="false" customHeight="false" outlineLevel="0" collapsed="false">
      <c r="A97" s="2" t="s">
        <v>525</v>
      </c>
      <c r="B97" s="2" t="s">
        <v>409</v>
      </c>
      <c r="C97" s="2" t="n">
        <v>2</v>
      </c>
      <c r="D97" s="2" t="s">
        <v>476</v>
      </c>
      <c r="E97" s="2" t="s">
        <v>410</v>
      </c>
      <c r="F97" s="2" t="s">
        <v>526</v>
      </c>
      <c r="G97" s="3" t="n">
        <v>7</v>
      </c>
      <c r="H97" s="3" t="n">
        <v>5</v>
      </c>
      <c r="I97" s="3" t="n">
        <v>1</v>
      </c>
      <c r="J97" s="2" t="n">
        <f aca="false">G97/I97*H97</f>
        <v>35</v>
      </c>
      <c r="K97" s="2" t="s">
        <v>527</v>
      </c>
      <c r="L97" s="2" t="s">
        <v>528</v>
      </c>
      <c r="M97" s="2" t="s">
        <v>529</v>
      </c>
      <c r="N97" s="2" t="s">
        <v>530</v>
      </c>
      <c r="O97" s="2" t="s">
        <v>463</v>
      </c>
    </row>
    <row r="98" customFormat="false" ht="23.85" hidden="false" customHeight="false" outlineLevel="0" collapsed="false">
      <c r="A98" s="2" t="s">
        <v>531</v>
      </c>
      <c r="B98" s="2" t="s">
        <v>409</v>
      </c>
      <c r="C98" s="2" t="n">
        <v>3</v>
      </c>
      <c r="D98" s="2" t="s">
        <v>532</v>
      </c>
      <c r="E98" s="2" t="s">
        <v>410</v>
      </c>
      <c r="F98" s="2" t="s">
        <v>533</v>
      </c>
      <c r="G98" s="3" t="n">
        <v>84</v>
      </c>
      <c r="H98" s="3" t="n">
        <v>7</v>
      </c>
      <c r="I98" s="3" t="n">
        <v>5</v>
      </c>
      <c r="J98" s="2" t="n">
        <f aca="false">G98/H98*I98</f>
        <v>60</v>
      </c>
      <c r="K98" s="2" t="s">
        <v>534</v>
      </c>
      <c r="L98" s="2" t="s">
        <v>535</v>
      </c>
      <c r="M98" s="2" t="s">
        <v>414</v>
      </c>
      <c r="N98" s="2" t="s">
        <v>536</v>
      </c>
      <c r="O98" s="2" t="s">
        <v>416</v>
      </c>
    </row>
    <row r="99" customFormat="false" ht="23.85" hidden="false" customHeight="false" outlineLevel="0" collapsed="false">
      <c r="A99" s="2" t="s">
        <v>537</v>
      </c>
      <c r="B99" s="2" t="s">
        <v>409</v>
      </c>
      <c r="C99" s="2" t="n">
        <v>3</v>
      </c>
      <c r="D99" s="2" t="s">
        <v>532</v>
      </c>
      <c r="E99" s="2" t="s">
        <v>410</v>
      </c>
      <c r="F99" s="2" t="s">
        <v>538</v>
      </c>
      <c r="G99" s="3" t="n">
        <v>81</v>
      </c>
      <c r="H99" s="3" t="n">
        <v>9</v>
      </c>
      <c r="I99" s="3" t="n">
        <v>6</v>
      </c>
      <c r="J99" s="2" t="n">
        <f aca="false">G99/H99*I99</f>
        <v>54</v>
      </c>
      <c r="K99" s="2" t="s">
        <v>539</v>
      </c>
      <c r="L99" s="2" t="s">
        <v>540</v>
      </c>
      <c r="M99" s="2" t="s">
        <v>414</v>
      </c>
      <c r="N99" s="2" t="s">
        <v>541</v>
      </c>
      <c r="O99" s="2" t="s">
        <v>416</v>
      </c>
    </row>
    <row r="100" customFormat="false" ht="23.85" hidden="false" customHeight="false" outlineLevel="0" collapsed="false">
      <c r="A100" s="2" t="s">
        <v>542</v>
      </c>
      <c r="B100" s="2" t="s">
        <v>409</v>
      </c>
      <c r="C100" s="2" t="n">
        <v>3</v>
      </c>
      <c r="D100" s="2" t="s">
        <v>532</v>
      </c>
      <c r="E100" s="2" t="s">
        <v>410</v>
      </c>
      <c r="F100" s="2" t="s">
        <v>543</v>
      </c>
      <c r="G100" s="3" t="n">
        <v>24</v>
      </c>
      <c r="H100" s="3" t="n">
        <v>6</v>
      </c>
      <c r="I100" s="3" t="n">
        <v>4</v>
      </c>
      <c r="J100" s="2" t="n">
        <f aca="false">G100/H100*I100</f>
        <v>16</v>
      </c>
      <c r="K100" s="2" t="s">
        <v>544</v>
      </c>
      <c r="L100" s="2" t="s">
        <v>545</v>
      </c>
      <c r="M100" s="2" t="s">
        <v>414</v>
      </c>
      <c r="N100" s="2" t="s">
        <v>546</v>
      </c>
      <c r="O100" s="2" t="s">
        <v>416</v>
      </c>
    </row>
    <row r="101" customFormat="false" ht="23.85" hidden="false" customHeight="false" outlineLevel="0" collapsed="false">
      <c r="A101" s="2" t="s">
        <v>547</v>
      </c>
      <c r="B101" s="2" t="s">
        <v>409</v>
      </c>
      <c r="C101" s="2" t="n">
        <v>3</v>
      </c>
      <c r="D101" s="2" t="s">
        <v>532</v>
      </c>
      <c r="E101" s="2" t="s">
        <v>410</v>
      </c>
      <c r="F101" s="2" t="s">
        <v>548</v>
      </c>
      <c r="G101" s="3" t="n">
        <v>42</v>
      </c>
      <c r="H101" s="3" t="n">
        <v>6</v>
      </c>
      <c r="I101" s="3" t="n">
        <v>2</v>
      </c>
      <c r="J101" s="2" t="n">
        <f aca="false">G101-G101/H101*I101</f>
        <v>28</v>
      </c>
      <c r="K101" s="2" t="s">
        <v>549</v>
      </c>
      <c r="L101" s="2" t="s">
        <v>550</v>
      </c>
      <c r="M101" s="2" t="s">
        <v>430</v>
      </c>
      <c r="N101" s="2" t="s">
        <v>431</v>
      </c>
      <c r="O101" s="2" t="s">
        <v>432</v>
      </c>
    </row>
    <row r="102" customFormat="false" ht="23.85" hidden="false" customHeight="false" outlineLevel="0" collapsed="false">
      <c r="A102" s="2" t="s">
        <v>551</v>
      </c>
      <c r="B102" s="2" t="s">
        <v>409</v>
      </c>
      <c r="C102" s="2" t="n">
        <v>3</v>
      </c>
      <c r="D102" s="2" t="s">
        <v>532</v>
      </c>
      <c r="E102" s="2" t="s">
        <v>410</v>
      </c>
      <c r="F102" s="2" t="s">
        <v>552</v>
      </c>
      <c r="G102" s="3" t="n">
        <v>90</v>
      </c>
      <c r="H102" s="3" t="n">
        <v>10</v>
      </c>
      <c r="I102" s="3" t="n">
        <v>5</v>
      </c>
      <c r="J102" s="2" t="n">
        <f aca="false">G102-G102/H102*I102</f>
        <v>45</v>
      </c>
      <c r="K102" s="2" t="s">
        <v>553</v>
      </c>
      <c r="L102" s="2" t="s">
        <v>554</v>
      </c>
      <c r="M102" s="2" t="s">
        <v>430</v>
      </c>
      <c r="N102" s="2" t="s">
        <v>431</v>
      </c>
      <c r="O102" s="2" t="s">
        <v>432</v>
      </c>
    </row>
    <row r="103" customFormat="false" ht="23.85" hidden="false" customHeight="false" outlineLevel="0" collapsed="false">
      <c r="A103" s="2" t="s">
        <v>555</v>
      </c>
      <c r="B103" s="2" t="s">
        <v>409</v>
      </c>
      <c r="C103" s="2" t="n">
        <v>3</v>
      </c>
      <c r="D103" s="2" t="s">
        <v>532</v>
      </c>
      <c r="E103" s="2" t="s">
        <v>410</v>
      </c>
      <c r="F103" s="2" t="s">
        <v>556</v>
      </c>
      <c r="G103" s="3" t="n">
        <v>63</v>
      </c>
      <c r="H103" s="3" t="n">
        <v>9</v>
      </c>
      <c r="I103" s="3" t="n">
        <v>8</v>
      </c>
      <c r="J103" s="2" t="n">
        <f aca="false">G103-G103/H103*I103</f>
        <v>7</v>
      </c>
      <c r="K103" s="2" t="s">
        <v>557</v>
      </c>
      <c r="L103" s="2" t="s">
        <v>558</v>
      </c>
      <c r="M103" s="2" t="s">
        <v>430</v>
      </c>
      <c r="N103" s="2" t="s">
        <v>431</v>
      </c>
      <c r="O103" s="2" t="s">
        <v>432</v>
      </c>
    </row>
    <row r="104" customFormat="false" ht="23.85" hidden="false" customHeight="false" outlineLevel="0" collapsed="false">
      <c r="A104" s="2" t="s">
        <v>559</v>
      </c>
      <c r="B104" s="2" t="s">
        <v>409</v>
      </c>
      <c r="C104" s="2" t="n">
        <v>3</v>
      </c>
      <c r="D104" s="2" t="s">
        <v>532</v>
      </c>
      <c r="E104" s="2" t="s">
        <v>410</v>
      </c>
      <c r="F104" s="2" t="s">
        <v>560</v>
      </c>
      <c r="G104" s="3" t="n">
        <v>120</v>
      </c>
      <c r="H104" s="3" t="n">
        <v>10</v>
      </c>
      <c r="I104" s="3" t="n">
        <v>1</v>
      </c>
      <c r="J104" s="2" t="n">
        <f aca="false">G104-G104/H104</f>
        <v>108</v>
      </c>
      <c r="K104" s="2" t="s">
        <v>561</v>
      </c>
      <c r="L104" s="2" t="s">
        <v>562</v>
      </c>
      <c r="M104" s="2" t="s">
        <v>445</v>
      </c>
      <c r="N104" s="2" t="s">
        <v>563</v>
      </c>
      <c r="O104" s="2" t="s">
        <v>447</v>
      </c>
    </row>
    <row r="105" customFormat="false" ht="23.85" hidden="false" customHeight="false" outlineLevel="0" collapsed="false">
      <c r="A105" s="2" t="s">
        <v>564</v>
      </c>
      <c r="B105" s="2" t="s">
        <v>409</v>
      </c>
      <c r="C105" s="2" t="n">
        <v>3</v>
      </c>
      <c r="D105" s="2" t="s">
        <v>532</v>
      </c>
      <c r="E105" s="2" t="s">
        <v>410</v>
      </c>
      <c r="F105" s="2" t="s">
        <v>565</v>
      </c>
      <c r="G105" s="3" t="n">
        <v>63</v>
      </c>
      <c r="H105" s="3" t="n">
        <v>9</v>
      </c>
      <c r="I105" s="3" t="n">
        <v>1</v>
      </c>
      <c r="J105" s="2" t="n">
        <f aca="false">G105-G105/H105</f>
        <v>56</v>
      </c>
      <c r="K105" s="2" t="s">
        <v>566</v>
      </c>
      <c r="L105" s="2" t="s">
        <v>567</v>
      </c>
      <c r="M105" s="2" t="s">
        <v>445</v>
      </c>
      <c r="N105" s="2" t="s">
        <v>568</v>
      </c>
      <c r="O105" s="2" t="s">
        <v>447</v>
      </c>
    </row>
    <row r="106" customFormat="false" ht="23.85" hidden="false" customHeight="false" outlineLevel="0" collapsed="false">
      <c r="A106" s="2" t="s">
        <v>569</v>
      </c>
      <c r="B106" s="2" t="s">
        <v>409</v>
      </c>
      <c r="C106" s="2" t="n">
        <v>3</v>
      </c>
      <c r="D106" s="2" t="s">
        <v>532</v>
      </c>
      <c r="E106" s="2" t="s">
        <v>410</v>
      </c>
      <c r="F106" s="2" t="s">
        <v>570</v>
      </c>
      <c r="G106" s="3" t="n">
        <v>60</v>
      </c>
      <c r="H106" s="3" t="n">
        <v>10</v>
      </c>
      <c r="I106" s="3" t="n">
        <v>1</v>
      </c>
      <c r="J106" s="2" t="n">
        <f aca="false">G106-G106/H106</f>
        <v>54</v>
      </c>
      <c r="K106" s="2" t="s">
        <v>571</v>
      </c>
      <c r="L106" s="2" t="s">
        <v>572</v>
      </c>
      <c r="M106" s="2" t="s">
        <v>445</v>
      </c>
      <c r="N106" s="2" t="s">
        <v>563</v>
      </c>
      <c r="O106" s="2" t="s">
        <v>447</v>
      </c>
    </row>
    <row r="107" customFormat="false" ht="23.85" hidden="false" customHeight="false" outlineLevel="0" collapsed="false">
      <c r="A107" s="2" t="s">
        <v>573</v>
      </c>
      <c r="B107" s="2" t="s">
        <v>409</v>
      </c>
      <c r="C107" s="2" t="n">
        <v>3</v>
      </c>
      <c r="D107" s="2" t="s">
        <v>532</v>
      </c>
      <c r="E107" s="2" t="s">
        <v>410</v>
      </c>
      <c r="F107" s="2" t="s">
        <v>574</v>
      </c>
      <c r="G107" s="3" t="n">
        <v>12</v>
      </c>
      <c r="H107" s="3" t="n">
        <v>9</v>
      </c>
      <c r="I107" s="3" t="n">
        <v>1</v>
      </c>
      <c r="J107" s="2" t="n">
        <f aca="false">G107/I107*H107</f>
        <v>108</v>
      </c>
      <c r="K107" s="2" t="s">
        <v>575</v>
      </c>
      <c r="L107" s="2" t="s">
        <v>576</v>
      </c>
      <c r="M107" s="2" t="s">
        <v>577</v>
      </c>
      <c r="N107" s="2" t="s">
        <v>578</v>
      </c>
      <c r="O107" s="2" t="s">
        <v>463</v>
      </c>
    </row>
    <row r="108" customFormat="false" ht="23.85" hidden="false" customHeight="false" outlineLevel="0" collapsed="false">
      <c r="A108" s="2" t="s">
        <v>579</v>
      </c>
      <c r="B108" s="2" t="s">
        <v>409</v>
      </c>
      <c r="C108" s="2" t="n">
        <v>3</v>
      </c>
      <c r="D108" s="2" t="s">
        <v>532</v>
      </c>
      <c r="E108" s="2" t="s">
        <v>410</v>
      </c>
      <c r="F108" s="2" t="s">
        <v>580</v>
      </c>
      <c r="G108" s="3" t="n">
        <v>25</v>
      </c>
      <c r="H108" s="3" t="n">
        <v>7</v>
      </c>
      <c r="I108" s="3" t="n">
        <v>5</v>
      </c>
      <c r="J108" s="2" t="n">
        <f aca="false">G108/I108*H108</f>
        <v>35</v>
      </c>
      <c r="K108" s="2" t="s">
        <v>581</v>
      </c>
      <c r="L108" s="2" t="s">
        <v>582</v>
      </c>
      <c r="M108" s="2" t="s">
        <v>583</v>
      </c>
      <c r="N108" s="2" t="s">
        <v>584</v>
      </c>
      <c r="O108" s="2" t="s">
        <v>463</v>
      </c>
    </row>
    <row r="109" customFormat="false" ht="23.85" hidden="false" customHeight="false" outlineLevel="0" collapsed="false">
      <c r="A109" s="2" t="s">
        <v>585</v>
      </c>
      <c r="B109" s="2" t="s">
        <v>409</v>
      </c>
      <c r="C109" s="2" t="n">
        <v>3</v>
      </c>
      <c r="D109" s="2" t="s">
        <v>532</v>
      </c>
      <c r="E109" s="2" t="s">
        <v>410</v>
      </c>
      <c r="F109" s="2" t="s">
        <v>586</v>
      </c>
      <c r="G109" s="3" t="n">
        <v>12</v>
      </c>
      <c r="H109" s="3" t="n">
        <v>9</v>
      </c>
      <c r="I109" s="3" t="n">
        <v>2</v>
      </c>
      <c r="J109" s="2" t="n">
        <f aca="false">G109/I109*H109</f>
        <v>54</v>
      </c>
      <c r="K109" s="2" t="s">
        <v>587</v>
      </c>
      <c r="L109" s="2" t="s">
        <v>588</v>
      </c>
      <c r="M109" s="2" t="s">
        <v>589</v>
      </c>
      <c r="N109" s="2" t="s">
        <v>578</v>
      </c>
      <c r="O109" s="2" t="s">
        <v>463</v>
      </c>
    </row>
    <row r="110" customFormat="false" ht="23.85" hidden="false" customHeight="false" outlineLevel="0" collapsed="false">
      <c r="A110" s="2" t="s">
        <v>590</v>
      </c>
      <c r="B110" s="2" t="s">
        <v>591</v>
      </c>
      <c r="C110" s="2" t="n">
        <v>1</v>
      </c>
      <c r="D110" s="2" t="s">
        <v>592</v>
      </c>
      <c r="E110" s="2" t="s">
        <v>593</v>
      </c>
      <c r="F110" s="2" t="s">
        <v>594</v>
      </c>
      <c r="G110" s="3" t="n">
        <v>2</v>
      </c>
      <c r="H110" s="3" t="n">
        <v>3</v>
      </c>
      <c r="I110" s="3"/>
      <c r="J110" s="2" t="n">
        <f aca="false">G110*H110</f>
        <v>6</v>
      </c>
      <c r="K110" s="2" t="s">
        <v>595</v>
      </c>
      <c r="L110" s="2" t="s">
        <v>596</v>
      </c>
      <c r="M110" s="2" t="s">
        <v>597</v>
      </c>
      <c r="N110" s="2" t="s">
        <v>598</v>
      </c>
      <c r="O110" s="2" t="s">
        <v>43</v>
      </c>
    </row>
    <row r="111" customFormat="false" ht="23.85" hidden="false" customHeight="false" outlineLevel="0" collapsed="false">
      <c r="A111" s="2" t="s">
        <v>599</v>
      </c>
      <c r="B111" s="2" t="s">
        <v>591</v>
      </c>
      <c r="C111" s="2" t="n">
        <v>1</v>
      </c>
      <c r="D111" s="2" t="s">
        <v>592</v>
      </c>
      <c r="E111" s="2" t="s">
        <v>593</v>
      </c>
      <c r="F111" s="2" t="s">
        <v>600</v>
      </c>
      <c r="G111" s="3" t="n">
        <v>2</v>
      </c>
      <c r="H111" s="3" t="n">
        <v>5</v>
      </c>
      <c r="I111" s="3"/>
      <c r="J111" s="2" t="n">
        <f aca="false">G111*H111</f>
        <v>10</v>
      </c>
      <c r="K111" s="2" t="s">
        <v>601</v>
      </c>
      <c r="L111" s="2" t="s">
        <v>602</v>
      </c>
      <c r="M111" s="2" t="s">
        <v>597</v>
      </c>
      <c r="N111" s="2" t="s">
        <v>603</v>
      </c>
      <c r="O111" s="2" t="s">
        <v>43</v>
      </c>
    </row>
    <row r="112" customFormat="false" ht="23.85" hidden="false" customHeight="false" outlineLevel="0" collapsed="false">
      <c r="A112" s="2" t="s">
        <v>604</v>
      </c>
      <c r="B112" s="2" t="s">
        <v>591</v>
      </c>
      <c r="C112" s="2" t="n">
        <v>1</v>
      </c>
      <c r="D112" s="2" t="s">
        <v>592</v>
      </c>
      <c r="E112" s="2" t="s">
        <v>593</v>
      </c>
      <c r="F112" s="2" t="s">
        <v>605</v>
      </c>
      <c r="G112" s="3" t="n">
        <v>3</v>
      </c>
      <c r="H112" s="3" t="n">
        <v>2</v>
      </c>
      <c r="I112" s="3"/>
      <c r="J112" s="2" t="n">
        <f aca="false">G112*H112</f>
        <v>6</v>
      </c>
      <c r="K112" s="2" t="s">
        <v>606</v>
      </c>
      <c r="L112" s="2" t="s">
        <v>607</v>
      </c>
      <c r="M112" s="2" t="s">
        <v>597</v>
      </c>
      <c r="N112" s="2" t="s">
        <v>608</v>
      </c>
      <c r="O112" s="2" t="s">
        <v>43</v>
      </c>
    </row>
    <row r="113" customFormat="false" ht="23.85" hidden="false" customHeight="false" outlineLevel="0" collapsed="false">
      <c r="A113" s="2" t="s">
        <v>609</v>
      </c>
      <c r="B113" s="2" t="s">
        <v>591</v>
      </c>
      <c r="C113" s="2" t="n">
        <v>1</v>
      </c>
      <c r="D113" s="2" t="s">
        <v>592</v>
      </c>
      <c r="E113" s="2" t="s">
        <v>610</v>
      </c>
      <c r="F113" s="2" t="s">
        <v>611</v>
      </c>
      <c r="G113" s="3" t="n">
        <v>20</v>
      </c>
      <c r="H113" s="3" t="n">
        <v>4</v>
      </c>
      <c r="I113" s="3"/>
      <c r="J113" s="2" t="n">
        <f aca="false">G113/H113</f>
        <v>5</v>
      </c>
      <c r="K113" s="2" t="s">
        <v>612</v>
      </c>
      <c r="L113" s="2" t="s">
        <v>613</v>
      </c>
      <c r="M113" s="2" t="s">
        <v>414</v>
      </c>
      <c r="N113" s="2" t="s">
        <v>614</v>
      </c>
      <c r="O113" s="2" t="s">
        <v>615</v>
      </c>
    </row>
    <row r="114" customFormat="false" ht="23.85" hidden="false" customHeight="false" outlineLevel="0" collapsed="false">
      <c r="A114" s="2" t="s">
        <v>616</v>
      </c>
      <c r="B114" s="2" t="s">
        <v>591</v>
      </c>
      <c r="C114" s="2" t="n">
        <v>1</v>
      </c>
      <c r="D114" s="2" t="s">
        <v>592</v>
      </c>
      <c r="E114" s="2" t="s">
        <v>610</v>
      </c>
      <c r="F114" s="2" t="s">
        <v>617</v>
      </c>
      <c r="G114" s="3" t="n">
        <v>6</v>
      </c>
      <c r="H114" s="3" t="n">
        <v>3</v>
      </c>
      <c r="I114" s="3"/>
      <c r="J114" s="2" t="n">
        <f aca="false">G114/H114</f>
        <v>2</v>
      </c>
      <c r="K114" s="2" t="s">
        <v>618</v>
      </c>
      <c r="L114" s="2" t="s">
        <v>619</v>
      </c>
      <c r="M114" s="2" t="s">
        <v>414</v>
      </c>
      <c r="N114" s="2" t="s">
        <v>614</v>
      </c>
      <c r="O114" s="2" t="s">
        <v>615</v>
      </c>
    </row>
    <row r="115" customFormat="false" ht="23.85" hidden="false" customHeight="false" outlineLevel="0" collapsed="false">
      <c r="A115" s="2" t="s">
        <v>620</v>
      </c>
      <c r="B115" s="2" t="s">
        <v>591</v>
      </c>
      <c r="C115" s="2" t="n">
        <v>1</v>
      </c>
      <c r="D115" s="2" t="s">
        <v>592</v>
      </c>
      <c r="E115" s="2" t="s">
        <v>610</v>
      </c>
      <c r="F115" s="2" t="s">
        <v>621</v>
      </c>
      <c r="G115" s="3" t="n">
        <v>16</v>
      </c>
      <c r="H115" s="3" t="n">
        <v>4</v>
      </c>
      <c r="I115" s="3"/>
      <c r="J115" s="2" t="n">
        <f aca="false">G115/H115</f>
        <v>4</v>
      </c>
      <c r="K115" s="2" t="s">
        <v>622</v>
      </c>
      <c r="L115" s="2" t="s">
        <v>623</v>
      </c>
      <c r="M115" s="2" t="s">
        <v>414</v>
      </c>
      <c r="N115" s="2" t="s">
        <v>614</v>
      </c>
      <c r="O115" s="2" t="s">
        <v>615</v>
      </c>
    </row>
    <row r="116" customFormat="false" ht="23.85" hidden="false" customHeight="false" outlineLevel="0" collapsed="false">
      <c r="A116" s="2" t="s">
        <v>624</v>
      </c>
      <c r="B116" s="2" t="s">
        <v>591</v>
      </c>
      <c r="C116" s="2" t="n">
        <v>1</v>
      </c>
      <c r="D116" s="2" t="s">
        <v>592</v>
      </c>
      <c r="E116" s="2" t="s">
        <v>625</v>
      </c>
      <c r="F116" s="2" t="s">
        <v>626</v>
      </c>
      <c r="G116" s="3" t="n">
        <v>2</v>
      </c>
      <c r="H116" s="3" t="n">
        <v>5</v>
      </c>
      <c r="I116" s="3"/>
      <c r="J116" s="2" t="n">
        <f aca="false">G116*(H116+1)</f>
        <v>12</v>
      </c>
      <c r="K116" s="2" t="s">
        <v>627</v>
      </c>
      <c r="L116" s="2" t="s">
        <v>628</v>
      </c>
      <c r="M116" s="2" t="s">
        <v>629</v>
      </c>
      <c r="N116" s="2" t="s">
        <v>630</v>
      </c>
      <c r="O116" s="2" t="s">
        <v>631</v>
      </c>
    </row>
    <row r="117" customFormat="false" ht="23.85" hidden="false" customHeight="false" outlineLevel="0" collapsed="false">
      <c r="A117" s="2" t="s">
        <v>632</v>
      </c>
      <c r="B117" s="2" t="s">
        <v>591</v>
      </c>
      <c r="C117" s="2" t="n">
        <v>1</v>
      </c>
      <c r="D117" s="2" t="s">
        <v>592</v>
      </c>
      <c r="E117" s="2" t="s">
        <v>625</v>
      </c>
      <c r="F117" s="2" t="s">
        <v>633</v>
      </c>
      <c r="G117" s="3" t="n">
        <v>3</v>
      </c>
      <c r="H117" s="3" t="n">
        <v>2</v>
      </c>
      <c r="I117" s="3"/>
      <c r="J117" s="2" t="n">
        <f aca="false">G117*(H117+1)</f>
        <v>9</v>
      </c>
      <c r="K117" s="2" t="s">
        <v>634</v>
      </c>
      <c r="L117" s="2" t="s">
        <v>635</v>
      </c>
      <c r="M117" s="2" t="s">
        <v>636</v>
      </c>
      <c r="N117" s="2" t="s">
        <v>637</v>
      </c>
      <c r="O117" s="2" t="s">
        <v>638</v>
      </c>
    </row>
    <row r="118" customFormat="false" ht="23.85" hidden="false" customHeight="false" outlineLevel="0" collapsed="false">
      <c r="A118" s="2" t="s">
        <v>639</v>
      </c>
      <c r="B118" s="2" t="s">
        <v>591</v>
      </c>
      <c r="C118" s="2" t="n">
        <v>1</v>
      </c>
      <c r="D118" s="2" t="s">
        <v>592</v>
      </c>
      <c r="E118" s="2" t="s">
        <v>625</v>
      </c>
      <c r="F118" s="2" t="s">
        <v>640</v>
      </c>
      <c r="G118" s="3" t="n">
        <v>3</v>
      </c>
      <c r="H118" s="3" t="n">
        <v>3</v>
      </c>
      <c r="I118" s="3"/>
      <c r="J118" s="2" t="n">
        <f aca="false">G118*(H118+1)</f>
        <v>12</v>
      </c>
      <c r="K118" s="2" t="s">
        <v>641</v>
      </c>
      <c r="L118" s="2" t="s">
        <v>642</v>
      </c>
      <c r="M118" s="2" t="s">
        <v>643</v>
      </c>
      <c r="N118" s="2" t="s">
        <v>644</v>
      </c>
      <c r="O118" s="2" t="s">
        <v>645</v>
      </c>
    </row>
    <row r="119" customFormat="false" ht="23.85" hidden="false" customHeight="false" outlineLevel="0" collapsed="false">
      <c r="A119" s="2" t="s">
        <v>646</v>
      </c>
      <c r="B119" s="2" t="s">
        <v>591</v>
      </c>
      <c r="C119" s="2" t="n">
        <v>1</v>
      </c>
      <c r="D119" s="2" t="s">
        <v>592</v>
      </c>
      <c r="E119" s="2" t="s">
        <v>610</v>
      </c>
      <c r="F119" s="2" t="s">
        <v>647</v>
      </c>
      <c r="G119" s="3" t="n">
        <v>8</v>
      </c>
      <c r="H119" s="3" t="n">
        <v>2</v>
      </c>
      <c r="I119" s="3"/>
      <c r="J119" s="2" t="n">
        <f aca="false">G119/H119</f>
        <v>4</v>
      </c>
      <c r="K119" s="2" t="s">
        <v>648</v>
      </c>
      <c r="L119" s="2" t="s">
        <v>649</v>
      </c>
      <c r="M119" s="2" t="s">
        <v>650</v>
      </c>
      <c r="N119" s="2" t="s">
        <v>651</v>
      </c>
      <c r="O119" s="2" t="s">
        <v>652</v>
      </c>
    </row>
    <row r="120" customFormat="false" ht="23.85" hidden="false" customHeight="false" outlineLevel="0" collapsed="false">
      <c r="A120" s="2" t="s">
        <v>653</v>
      </c>
      <c r="B120" s="2" t="s">
        <v>591</v>
      </c>
      <c r="C120" s="2" t="n">
        <v>1</v>
      </c>
      <c r="D120" s="2" t="s">
        <v>592</v>
      </c>
      <c r="E120" s="2" t="s">
        <v>610</v>
      </c>
      <c r="F120" s="2" t="s">
        <v>654</v>
      </c>
      <c r="G120" s="3" t="n">
        <v>9</v>
      </c>
      <c r="H120" s="3" t="n">
        <v>3</v>
      </c>
      <c r="I120" s="3"/>
      <c r="J120" s="2" t="n">
        <f aca="false">G120/H120</f>
        <v>3</v>
      </c>
      <c r="K120" s="2" t="s">
        <v>655</v>
      </c>
      <c r="L120" s="2" t="s">
        <v>656</v>
      </c>
      <c r="M120" s="2" t="s">
        <v>657</v>
      </c>
      <c r="N120" s="2" t="s">
        <v>651</v>
      </c>
      <c r="O120" s="2" t="s">
        <v>652</v>
      </c>
    </row>
    <row r="121" customFormat="false" ht="23.85" hidden="false" customHeight="false" outlineLevel="0" collapsed="false">
      <c r="A121" s="2" t="s">
        <v>658</v>
      </c>
      <c r="B121" s="2" t="s">
        <v>591</v>
      </c>
      <c r="C121" s="2" t="n">
        <v>1</v>
      </c>
      <c r="D121" s="2" t="s">
        <v>592</v>
      </c>
      <c r="E121" s="2" t="s">
        <v>610</v>
      </c>
      <c r="F121" s="2" t="s">
        <v>659</v>
      </c>
      <c r="G121" s="3" t="n">
        <v>6</v>
      </c>
      <c r="H121" s="3" t="n">
        <v>3</v>
      </c>
      <c r="I121" s="3"/>
      <c r="J121" s="2" t="n">
        <f aca="false">G121/H121</f>
        <v>2</v>
      </c>
      <c r="K121" s="2" t="s">
        <v>618</v>
      </c>
      <c r="L121" s="2" t="s">
        <v>660</v>
      </c>
      <c r="M121" s="2" t="s">
        <v>657</v>
      </c>
      <c r="N121" s="2" t="s">
        <v>651</v>
      </c>
      <c r="O121" s="2" t="s">
        <v>652</v>
      </c>
    </row>
    <row r="122" customFormat="false" ht="23.85" hidden="false" customHeight="false" outlineLevel="0" collapsed="false">
      <c r="A122" s="2" t="s">
        <v>661</v>
      </c>
      <c r="B122" s="2" t="s">
        <v>591</v>
      </c>
      <c r="C122" s="2" t="n">
        <v>2</v>
      </c>
      <c r="D122" s="2" t="s">
        <v>476</v>
      </c>
      <c r="E122" s="2" t="s">
        <v>593</v>
      </c>
      <c r="F122" s="2" t="s">
        <v>662</v>
      </c>
      <c r="G122" s="3" t="n">
        <v>9</v>
      </c>
      <c r="H122" s="3" t="n">
        <v>9</v>
      </c>
      <c r="I122" s="3"/>
      <c r="J122" s="2" t="n">
        <f aca="false">G122*H122</f>
        <v>81</v>
      </c>
      <c r="K122" s="2" t="s">
        <v>663</v>
      </c>
      <c r="L122" s="2" t="s">
        <v>664</v>
      </c>
      <c r="M122" s="2" t="s">
        <v>597</v>
      </c>
      <c r="N122" s="2" t="s">
        <v>665</v>
      </c>
      <c r="O122" s="2" t="s">
        <v>43</v>
      </c>
    </row>
    <row r="123" customFormat="false" ht="23.85" hidden="false" customHeight="false" outlineLevel="0" collapsed="false">
      <c r="A123" s="2" t="s">
        <v>666</v>
      </c>
      <c r="B123" s="2" t="s">
        <v>591</v>
      </c>
      <c r="C123" s="2" t="n">
        <v>2</v>
      </c>
      <c r="D123" s="2" t="s">
        <v>476</v>
      </c>
      <c r="E123" s="2" t="s">
        <v>593</v>
      </c>
      <c r="F123" s="2" t="s">
        <v>667</v>
      </c>
      <c r="G123" s="3" t="n">
        <v>5</v>
      </c>
      <c r="H123" s="3" t="n">
        <v>7</v>
      </c>
      <c r="I123" s="3"/>
      <c r="J123" s="2" t="n">
        <f aca="false">G123*H123</f>
        <v>35</v>
      </c>
      <c r="K123" s="2" t="s">
        <v>668</v>
      </c>
      <c r="L123" s="2" t="s">
        <v>669</v>
      </c>
      <c r="M123" s="2" t="s">
        <v>597</v>
      </c>
      <c r="N123" s="2" t="s">
        <v>670</v>
      </c>
      <c r="O123" s="2" t="s">
        <v>43</v>
      </c>
    </row>
    <row r="124" customFormat="false" ht="23.85" hidden="false" customHeight="false" outlineLevel="0" collapsed="false">
      <c r="A124" s="2" t="s">
        <v>671</v>
      </c>
      <c r="B124" s="2" t="s">
        <v>591</v>
      </c>
      <c r="C124" s="2" t="n">
        <v>2</v>
      </c>
      <c r="D124" s="2" t="s">
        <v>476</v>
      </c>
      <c r="E124" s="2" t="s">
        <v>593</v>
      </c>
      <c r="F124" s="2" t="s">
        <v>672</v>
      </c>
      <c r="G124" s="3" t="n">
        <v>5</v>
      </c>
      <c r="H124" s="3" t="n">
        <v>6</v>
      </c>
      <c r="I124" s="3"/>
      <c r="J124" s="2" t="n">
        <f aca="false">G124*H124</f>
        <v>30</v>
      </c>
      <c r="K124" s="2" t="s">
        <v>673</v>
      </c>
      <c r="L124" s="2" t="s">
        <v>674</v>
      </c>
      <c r="M124" s="2" t="s">
        <v>597</v>
      </c>
      <c r="N124" s="2" t="s">
        <v>675</v>
      </c>
      <c r="O124" s="2" t="s">
        <v>43</v>
      </c>
    </row>
    <row r="125" customFormat="false" ht="23.85" hidden="false" customHeight="false" outlineLevel="0" collapsed="false">
      <c r="A125" s="2" t="s">
        <v>676</v>
      </c>
      <c r="B125" s="2" t="s">
        <v>591</v>
      </c>
      <c r="C125" s="2" t="n">
        <v>2</v>
      </c>
      <c r="D125" s="2" t="s">
        <v>476</v>
      </c>
      <c r="E125" s="2" t="s">
        <v>610</v>
      </c>
      <c r="F125" s="2" t="s">
        <v>677</v>
      </c>
      <c r="G125" s="3" t="n">
        <v>28</v>
      </c>
      <c r="H125" s="3" t="n">
        <v>4</v>
      </c>
      <c r="I125" s="3"/>
      <c r="J125" s="2" t="n">
        <f aca="false">G125/H125</f>
        <v>7</v>
      </c>
      <c r="K125" s="2" t="s">
        <v>678</v>
      </c>
      <c r="L125" s="2" t="s">
        <v>679</v>
      </c>
      <c r="M125" s="2" t="s">
        <v>414</v>
      </c>
      <c r="N125" s="2" t="s">
        <v>614</v>
      </c>
      <c r="O125" s="2" t="s">
        <v>615</v>
      </c>
    </row>
    <row r="126" customFormat="false" ht="23.85" hidden="false" customHeight="false" outlineLevel="0" collapsed="false">
      <c r="A126" s="2" t="s">
        <v>680</v>
      </c>
      <c r="B126" s="2" t="s">
        <v>591</v>
      </c>
      <c r="C126" s="2" t="n">
        <v>2</v>
      </c>
      <c r="D126" s="2" t="s">
        <v>476</v>
      </c>
      <c r="E126" s="2" t="s">
        <v>610</v>
      </c>
      <c r="F126" s="2" t="s">
        <v>681</v>
      </c>
      <c r="G126" s="3" t="n">
        <v>35</v>
      </c>
      <c r="H126" s="3" t="n">
        <v>5</v>
      </c>
      <c r="I126" s="3"/>
      <c r="J126" s="2" t="n">
        <f aca="false">G126/H126</f>
        <v>7</v>
      </c>
      <c r="K126" s="2" t="s">
        <v>682</v>
      </c>
      <c r="L126" s="2" t="s">
        <v>683</v>
      </c>
      <c r="M126" s="2" t="s">
        <v>414</v>
      </c>
      <c r="N126" s="2" t="s">
        <v>614</v>
      </c>
      <c r="O126" s="2" t="s">
        <v>615</v>
      </c>
    </row>
    <row r="127" customFormat="false" ht="23.85" hidden="false" customHeight="false" outlineLevel="0" collapsed="false">
      <c r="A127" s="2" t="s">
        <v>684</v>
      </c>
      <c r="B127" s="2" t="s">
        <v>591</v>
      </c>
      <c r="C127" s="2" t="n">
        <v>2</v>
      </c>
      <c r="D127" s="2" t="s">
        <v>476</v>
      </c>
      <c r="E127" s="2" t="s">
        <v>610</v>
      </c>
      <c r="F127" s="2" t="s">
        <v>685</v>
      </c>
      <c r="G127" s="3" t="n">
        <v>54</v>
      </c>
      <c r="H127" s="3" t="n">
        <v>6</v>
      </c>
      <c r="I127" s="3"/>
      <c r="J127" s="2" t="n">
        <f aca="false">G127/H127</f>
        <v>9</v>
      </c>
      <c r="K127" s="2" t="s">
        <v>686</v>
      </c>
      <c r="L127" s="2" t="s">
        <v>687</v>
      </c>
      <c r="M127" s="2" t="s">
        <v>414</v>
      </c>
      <c r="N127" s="2" t="s">
        <v>614</v>
      </c>
      <c r="O127" s="2" t="s">
        <v>615</v>
      </c>
    </row>
    <row r="128" customFormat="false" ht="23.85" hidden="false" customHeight="false" outlineLevel="0" collapsed="false">
      <c r="A128" s="2" t="s">
        <v>688</v>
      </c>
      <c r="B128" s="2" t="s">
        <v>591</v>
      </c>
      <c r="C128" s="2" t="n">
        <v>2</v>
      </c>
      <c r="D128" s="2" t="s">
        <v>476</v>
      </c>
      <c r="E128" s="2" t="s">
        <v>625</v>
      </c>
      <c r="F128" s="2" t="s">
        <v>689</v>
      </c>
      <c r="G128" s="3" t="n">
        <v>4</v>
      </c>
      <c r="H128" s="3" t="n">
        <v>4</v>
      </c>
      <c r="I128" s="3"/>
      <c r="J128" s="2" t="n">
        <f aca="false">G128*(H128+1)</f>
        <v>20</v>
      </c>
      <c r="K128" s="2" t="s">
        <v>690</v>
      </c>
      <c r="L128" s="2" t="s">
        <v>691</v>
      </c>
      <c r="M128" s="2" t="s">
        <v>692</v>
      </c>
      <c r="N128" s="2" t="s">
        <v>693</v>
      </c>
      <c r="O128" s="2" t="s">
        <v>694</v>
      </c>
    </row>
    <row r="129" customFormat="false" ht="23.85" hidden="false" customHeight="false" outlineLevel="0" collapsed="false">
      <c r="A129" s="2" t="s">
        <v>695</v>
      </c>
      <c r="B129" s="2" t="s">
        <v>591</v>
      </c>
      <c r="C129" s="2" t="n">
        <v>2</v>
      </c>
      <c r="D129" s="2" t="s">
        <v>476</v>
      </c>
      <c r="E129" s="2" t="s">
        <v>625</v>
      </c>
      <c r="F129" s="2" t="s">
        <v>696</v>
      </c>
      <c r="G129" s="3" t="n">
        <v>7</v>
      </c>
      <c r="H129" s="3" t="n">
        <v>5</v>
      </c>
      <c r="I129" s="3"/>
      <c r="J129" s="2" t="n">
        <f aca="false">G129*(H129+1)</f>
        <v>42</v>
      </c>
      <c r="K129" s="2" t="s">
        <v>697</v>
      </c>
      <c r="L129" s="2" t="s">
        <v>698</v>
      </c>
      <c r="M129" s="2" t="s">
        <v>699</v>
      </c>
      <c r="N129" s="2" t="s">
        <v>700</v>
      </c>
      <c r="O129" s="2" t="s">
        <v>694</v>
      </c>
    </row>
    <row r="130" customFormat="false" ht="23.85" hidden="false" customHeight="false" outlineLevel="0" collapsed="false">
      <c r="A130" s="2" t="s">
        <v>701</v>
      </c>
      <c r="B130" s="2" t="s">
        <v>591</v>
      </c>
      <c r="C130" s="2" t="n">
        <v>2</v>
      </c>
      <c r="D130" s="2" t="s">
        <v>476</v>
      </c>
      <c r="E130" s="2" t="s">
        <v>625</v>
      </c>
      <c r="F130" s="2" t="s">
        <v>702</v>
      </c>
      <c r="G130" s="3" t="n">
        <v>6</v>
      </c>
      <c r="H130" s="3" t="n">
        <v>5</v>
      </c>
      <c r="I130" s="3"/>
      <c r="J130" s="2" t="n">
        <f aca="false">G130*(H130+1)</f>
        <v>36</v>
      </c>
      <c r="K130" s="2" t="s">
        <v>703</v>
      </c>
      <c r="L130" s="2" t="s">
        <v>704</v>
      </c>
      <c r="M130" s="2" t="s">
        <v>705</v>
      </c>
      <c r="N130" s="2" t="s">
        <v>706</v>
      </c>
      <c r="O130" s="2" t="s">
        <v>638</v>
      </c>
    </row>
    <row r="131" customFormat="false" ht="23.85" hidden="false" customHeight="false" outlineLevel="0" collapsed="false">
      <c r="A131" s="2" t="s">
        <v>707</v>
      </c>
      <c r="B131" s="2" t="s">
        <v>591</v>
      </c>
      <c r="C131" s="2" t="n">
        <v>2</v>
      </c>
      <c r="D131" s="2" t="s">
        <v>476</v>
      </c>
      <c r="E131" s="2" t="s">
        <v>610</v>
      </c>
      <c r="F131" s="2" t="s">
        <v>708</v>
      </c>
      <c r="G131" s="3" t="n">
        <v>36</v>
      </c>
      <c r="H131" s="3" t="n">
        <v>4</v>
      </c>
      <c r="I131" s="3"/>
      <c r="J131" s="2" t="n">
        <f aca="false">G131/H131</f>
        <v>9</v>
      </c>
      <c r="K131" s="2" t="s">
        <v>709</v>
      </c>
      <c r="L131" s="2" t="s">
        <v>710</v>
      </c>
      <c r="M131" s="2" t="s">
        <v>711</v>
      </c>
      <c r="N131" s="2" t="s">
        <v>651</v>
      </c>
      <c r="O131" s="2" t="s">
        <v>652</v>
      </c>
    </row>
    <row r="132" customFormat="false" ht="23.85" hidden="false" customHeight="false" outlineLevel="0" collapsed="false">
      <c r="A132" s="2" t="s">
        <v>712</v>
      </c>
      <c r="B132" s="2" t="s">
        <v>591</v>
      </c>
      <c r="C132" s="2" t="n">
        <v>2</v>
      </c>
      <c r="D132" s="2" t="s">
        <v>476</v>
      </c>
      <c r="E132" s="2" t="s">
        <v>610</v>
      </c>
      <c r="F132" s="2" t="s">
        <v>713</v>
      </c>
      <c r="G132" s="3" t="n">
        <v>54</v>
      </c>
      <c r="H132" s="3" t="n">
        <v>6</v>
      </c>
      <c r="I132" s="3"/>
      <c r="J132" s="2" t="n">
        <f aca="false">G132/H132</f>
        <v>9</v>
      </c>
      <c r="K132" s="2" t="s">
        <v>686</v>
      </c>
      <c r="L132" s="2" t="s">
        <v>714</v>
      </c>
      <c r="M132" s="2" t="s">
        <v>715</v>
      </c>
      <c r="N132" s="2" t="s">
        <v>651</v>
      </c>
      <c r="O132" s="2" t="s">
        <v>652</v>
      </c>
    </row>
    <row r="133" customFormat="false" ht="23.85" hidden="false" customHeight="false" outlineLevel="0" collapsed="false">
      <c r="A133" s="2" t="s">
        <v>716</v>
      </c>
      <c r="B133" s="2" t="s">
        <v>591</v>
      </c>
      <c r="C133" s="2" t="n">
        <v>2</v>
      </c>
      <c r="D133" s="2" t="s">
        <v>476</v>
      </c>
      <c r="E133" s="2" t="s">
        <v>610</v>
      </c>
      <c r="F133" s="2" t="s">
        <v>717</v>
      </c>
      <c r="G133" s="3" t="n">
        <v>24</v>
      </c>
      <c r="H133" s="3" t="n">
        <v>4</v>
      </c>
      <c r="I133" s="3"/>
      <c r="J133" s="2" t="n">
        <f aca="false">G133/H133</f>
        <v>6</v>
      </c>
      <c r="K133" s="2" t="s">
        <v>718</v>
      </c>
      <c r="L133" s="2" t="s">
        <v>719</v>
      </c>
      <c r="M133" s="2" t="s">
        <v>711</v>
      </c>
      <c r="N133" s="2" t="s">
        <v>651</v>
      </c>
      <c r="O133" s="2" t="s">
        <v>652</v>
      </c>
    </row>
    <row r="134" customFormat="false" ht="23.85" hidden="false" customHeight="false" outlineLevel="0" collapsed="false">
      <c r="A134" s="2" t="s">
        <v>720</v>
      </c>
      <c r="B134" s="2" t="s">
        <v>591</v>
      </c>
      <c r="C134" s="2" t="n">
        <v>3</v>
      </c>
      <c r="D134" s="2" t="s">
        <v>721</v>
      </c>
      <c r="E134" s="2" t="s">
        <v>593</v>
      </c>
      <c r="F134" s="2" t="s">
        <v>722</v>
      </c>
      <c r="G134" s="3" t="n">
        <v>8</v>
      </c>
      <c r="H134" s="3" t="n">
        <v>10</v>
      </c>
      <c r="I134" s="3"/>
      <c r="J134" s="2" t="n">
        <f aca="false">G134*H134</f>
        <v>80</v>
      </c>
      <c r="K134" s="2" t="s">
        <v>723</v>
      </c>
      <c r="L134" s="2" t="s">
        <v>724</v>
      </c>
      <c r="M134" s="2" t="s">
        <v>597</v>
      </c>
      <c r="N134" s="2" t="s">
        <v>725</v>
      </c>
      <c r="O134" s="2" t="s">
        <v>43</v>
      </c>
    </row>
    <row r="135" customFormat="false" ht="23.85" hidden="false" customHeight="false" outlineLevel="0" collapsed="false">
      <c r="A135" s="2" t="s">
        <v>726</v>
      </c>
      <c r="B135" s="2" t="s">
        <v>591</v>
      </c>
      <c r="C135" s="2" t="n">
        <v>3</v>
      </c>
      <c r="D135" s="2" t="s">
        <v>721</v>
      </c>
      <c r="E135" s="2" t="s">
        <v>593</v>
      </c>
      <c r="F135" s="2" t="s">
        <v>727</v>
      </c>
      <c r="G135" s="3" t="n">
        <v>11</v>
      </c>
      <c r="H135" s="3" t="n">
        <v>8</v>
      </c>
      <c r="I135" s="3"/>
      <c r="J135" s="2" t="n">
        <f aca="false">G135*H135</f>
        <v>88</v>
      </c>
      <c r="K135" s="2" t="s">
        <v>728</v>
      </c>
      <c r="L135" s="2" t="s">
        <v>729</v>
      </c>
      <c r="M135" s="2" t="s">
        <v>597</v>
      </c>
      <c r="N135" s="2" t="s">
        <v>730</v>
      </c>
      <c r="O135" s="2" t="s">
        <v>43</v>
      </c>
    </row>
    <row r="136" customFormat="false" ht="23.85" hidden="false" customHeight="false" outlineLevel="0" collapsed="false">
      <c r="A136" s="2" t="s">
        <v>731</v>
      </c>
      <c r="B136" s="2" t="s">
        <v>591</v>
      </c>
      <c r="C136" s="2" t="n">
        <v>3</v>
      </c>
      <c r="D136" s="2" t="s">
        <v>721</v>
      </c>
      <c r="E136" s="2" t="s">
        <v>593</v>
      </c>
      <c r="F136" s="2" t="s">
        <v>732</v>
      </c>
      <c r="G136" s="3" t="n">
        <v>14</v>
      </c>
      <c r="H136" s="3" t="n">
        <v>8</v>
      </c>
      <c r="I136" s="3"/>
      <c r="J136" s="2" t="n">
        <f aca="false">G136*H136</f>
        <v>112</v>
      </c>
      <c r="K136" s="2" t="s">
        <v>733</v>
      </c>
      <c r="L136" s="2" t="s">
        <v>734</v>
      </c>
      <c r="M136" s="2" t="s">
        <v>597</v>
      </c>
      <c r="N136" s="2" t="s">
        <v>735</v>
      </c>
      <c r="O136" s="2" t="s">
        <v>43</v>
      </c>
    </row>
    <row r="137" customFormat="false" ht="23.85" hidden="false" customHeight="false" outlineLevel="0" collapsed="false">
      <c r="A137" s="2" t="s">
        <v>736</v>
      </c>
      <c r="B137" s="2" t="s">
        <v>591</v>
      </c>
      <c r="C137" s="2" t="n">
        <v>3</v>
      </c>
      <c r="D137" s="2" t="s">
        <v>721</v>
      </c>
      <c r="E137" s="2" t="s">
        <v>610</v>
      </c>
      <c r="F137" s="2" t="s">
        <v>737</v>
      </c>
      <c r="G137" s="3" t="n">
        <v>70</v>
      </c>
      <c r="H137" s="3" t="n">
        <v>5</v>
      </c>
      <c r="I137" s="3"/>
      <c r="J137" s="2" t="n">
        <f aca="false">G137/H137</f>
        <v>14</v>
      </c>
      <c r="K137" s="2" t="s">
        <v>738</v>
      </c>
      <c r="L137" s="2" t="s">
        <v>739</v>
      </c>
      <c r="M137" s="2" t="s">
        <v>414</v>
      </c>
      <c r="N137" s="2" t="s">
        <v>614</v>
      </c>
      <c r="O137" s="2" t="s">
        <v>615</v>
      </c>
    </row>
    <row r="138" customFormat="false" ht="23.85" hidden="false" customHeight="false" outlineLevel="0" collapsed="false">
      <c r="A138" s="2" t="s">
        <v>740</v>
      </c>
      <c r="B138" s="2" t="s">
        <v>591</v>
      </c>
      <c r="C138" s="2" t="n">
        <v>3</v>
      </c>
      <c r="D138" s="2" t="s">
        <v>721</v>
      </c>
      <c r="E138" s="2" t="s">
        <v>610</v>
      </c>
      <c r="F138" s="2" t="s">
        <v>741</v>
      </c>
      <c r="G138" s="3" t="n">
        <v>130</v>
      </c>
      <c r="H138" s="3" t="n">
        <v>10</v>
      </c>
      <c r="I138" s="3"/>
      <c r="J138" s="2" t="n">
        <f aca="false">G138/H138</f>
        <v>13</v>
      </c>
      <c r="K138" s="2" t="s">
        <v>742</v>
      </c>
      <c r="L138" s="2" t="s">
        <v>743</v>
      </c>
      <c r="M138" s="2" t="s">
        <v>414</v>
      </c>
      <c r="N138" s="2" t="s">
        <v>614</v>
      </c>
      <c r="O138" s="2" t="s">
        <v>615</v>
      </c>
    </row>
    <row r="139" customFormat="false" ht="23.85" hidden="false" customHeight="false" outlineLevel="0" collapsed="false">
      <c r="A139" s="2" t="s">
        <v>744</v>
      </c>
      <c r="B139" s="2" t="s">
        <v>591</v>
      </c>
      <c r="C139" s="2" t="n">
        <v>3</v>
      </c>
      <c r="D139" s="2" t="s">
        <v>721</v>
      </c>
      <c r="E139" s="2" t="s">
        <v>610</v>
      </c>
      <c r="F139" s="2" t="s">
        <v>745</v>
      </c>
      <c r="G139" s="3" t="n">
        <v>110</v>
      </c>
      <c r="H139" s="3" t="n">
        <v>10</v>
      </c>
      <c r="I139" s="3"/>
      <c r="J139" s="2" t="n">
        <f aca="false">G139/H139</f>
        <v>11</v>
      </c>
      <c r="K139" s="2" t="s">
        <v>746</v>
      </c>
      <c r="L139" s="2" t="s">
        <v>747</v>
      </c>
      <c r="M139" s="2" t="s">
        <v>414</v>
      </c>
      <c r="N139" s="2" t="s">
        <v>614</v>
      </c>
      <c r="O139" s="2" t="s">
        <v>615</v>
      </c>
    </row>
    <row r="140" customFormat="false" ht="23.85" hidden="false" customHeight="false" outlineLevel="0" collapsed="false">
      <c r="A140" s="2" t="s">
        <v>748</v>
      </c>
      <c r="B140" s="2" t="s">
        <v>591</v>
      </c>
      <c r="C140" s="2" t="n">
        <v>3</v>
      </c>
      <c r="D140" s="2" t="s">
        <v>721</v>
      </c>
      <c r="E140" s="2" t="s">
        <v>625</v>
      </c>
      <c r="F140" s="2" t="s">
        <v>749</v>
      </c>
      <c r="G140" s="3" t="n">
        <v>13</v>
      </c>
      <c r="H140" s="3" t="n">
        <v>12</v>
      </c>
      <c r="I140" s="3"/>
      <c r="J140" s="2" t="n">
        <f aca="false">G140*(H140+1)</f>
        <v>169</v>
      </c>
      <c r="K140" s="2" t="s">
        <v>750</v>
      </c>
      <c r="L140" s="2" t="s">
        <v>751</v>
      </c>
      <c r="M140" s="2" t="s">
        <v>752</v>
      </c>
      <c r="N140" s="2" t="s">
        <v>753</v>
      </c>
      <c r="O140" s="2" t="s">
        <v>754</v>
      </c>
    </row>
    <row r="141" customFormat="false" ht="23.85" hidden="false" customHeight="false" outlineLevel="0" collapsed="false">
      <c r="A141" s="2" t="s">
        <v>755</v>
      </c>
      <c r="B141" s="2" t="s">
        <v>591</v>
      </c>
      <c r="C141" s="2" t="n">
        <v>3</v>
      </c>
      <c r="D141" s="2" t="s">
        <v>721</v>
      </c>
      <c r="E141" s="2" t="s">
        <v>625</v>
      </c>
      <c r="F141" s="2" t="s">
        <v>756</v>
      </c>
      <c r="G141" s="3" t="n">
        <v>11</v>
      </c>
      <c r="H141" s="3" t="n">
        <v>9</v>
      </c>
      <c r="I141" s="3"/>
      <c r="J141" s="2" t="n">
        <f aca="false">G141*(H141+1)</f>
        <v>110</v>
      </c>
      <c r="K141" s="2" t="s">
        <v>757</v>
      </c>
      <c r="L141" s="2" t="s">
        <v>758</v>
      </c>
      <c r="M141" s="2" t="s">
        <v>759</v>
      </c>
      <c r="N141" s="2" t="s">
        <v>760</v>
      </c>
      <c r="O141" s="2" t="s">
        <v>645</v>
      </c>
    </row>
    <row r="142" customFormat="false" ht="23.85" hidden="false" customHeight="false" outlineLevel="0" collapsed="false">
      <c r="A142" s="2" t="s">
        <v>761</v>
      </c>
      <c r="B142" s="2" t="s">
        <v>591</v>
      </c>
      <c r="C142" s="2" t="n">
        <v>3</v>
      </c>
      <c r="D142" s="2" t="s">
        <v>721</v>
      </c>
      <c r="E142" s="2" t="s">
        <v>625</v>
      </c>
      <c r="F142" s="2" t="s">
        <v>762</v>
      </c>
      <c r="G142" s="3" t="n">
        <v>8</v>
      </c>
      <c r="H142" s="3" t="n">
        <v>4</v>
      </c>
      <c r="I142" s="3"/>
      <c r="J142" s="2" t="n">
        <f aca="false">G142*(H142+1)</f>
        <v>40</v>
      </c>
      <c r="K142" s="2" t="s">
        <v>763</v>
      </c>
      <c r="L142" s="2" t="s">
        <v>764</v>
      </c>
      <c r="M142" s="2" t="s">
        <v>765</v>
      </c>
      <c r="N142" s="2" t="s">
        <v>766</v>
      </c>
      <c r="O142" s="2" t="s">
        <v>767</v>
      </c>
    </row>
    <row r="143" customFormat="false" ht="23.85" hidden="false" customHeight="false" outlineLevel="0" collapsed="false">
      <c r="A143" s="2" t="s">
        <v>768</v>
      </c>
      <c r="B143" s="2" t="s">
        <v>591</v>
      </c>
      <c r="C143" s="2" t="n">
        <v>3</v>
      </c>
      <c r="D143" s="2" t="s">
        <v>721</v>
      </c>
      <c r="E143" s="2" t="s">
        <v>610</v>
      </c>
      <c r="F143" s="2" t="s">
        <v>769</v>
      </c>
      <c r="G143" s="3" t="n">
        <v>60</v>
      </c>
      <c r="H143" s="3" t="n">
        <v>10</v>
      </c>
      <c r="I143" s="3"/>
      <c r="J143" s="2" t="n">
        <f aca="false">G143/H143</f>
        <v>6</v>
      </c>
      <c r="K143" s="2" t="s">
        <v>770</v>
      </c>
      <c r="L143" s="2" t="s">
        <v>771</v>
      </c>
      <c r="M143" s="2" t="s">
        <v>772</v>
      </c>
      <c r="N143" s="2" t="s">
        <v>651</v>
      </c>
      <c r="O143" s="2" t="s">
        <v>652</v>
      </c>
    </row>
    <row r="144" customFormat="false" ht="23.85" hidden="false" customHeight="false" outlineLevel="0" collapsed="false">
      <c r="A144" s="2" t="s">
        <v>773</v>
      </c>
      <c r="B144" s="2" t="s">
        <v>591</v>
      </c>
      <c r="C144" s="2" t="n">
        <v>3</v>
      </c>
      <c r="D144" s="2" t="s">
        <v>721</v>
      </c>
      <c r="E144" s="2" t="s">
        <v>610</v>
      </c>
      <c r="F144" s="2" t="s">
        <v>774</v>
      </c>
      <c r="G144" s="3" t="n">
        <v>150</v>
      </c>
      <c r="H144" s="3" t="n">
        <v>15</v>
      </c>
      <c r="I144" s="3"/>
      <c r="J144" s="2" t="n">
        <f aca="false">G144/H144</f>
        <v>10</v>
      </c>
      <c r="K144" s="2" t="s">
        <v>775</v>
      </c>
      <c r="L144" s="2" t="s">
        <v>776</v>
      </c>
      <c r="M144" s="2" t="s">
        <v>777</v>
      </c>
      <c r="N144" s="2" t="s">
        <v>651</v>
      </c>
      <c r="O144" s="2" t="s">
        <v>652</v>
      </c>
    </row>
    <row r="145" customFormat="false" ht="23.85" hidden="false" customHeight="false" outlineLevel="0" collapsed="false">
      <c r="A145" s="2" t="s">
        <v>778</v>
      </c>
      <c r="B145" s="2" t="s">
        <v>591</v>
      </c>
      <c r="C145" s="2" t="n">
        <v>3</v>
      </c>
      <c r="D145" s="2" t="s">
        <v>721</v>
      </c>
      <c r="E145" s="2" t="s">
        <v>610</v>
      </c>
      <c r="F145" s="2" t="s">
        <v>779</v>
      </c>
      <c r="G145" s="3" t="n">
        <v>24</v>
      </c>
      <c r="H145" s="3" t="n">
        <v>6</v>
      </c>
      <c r="I145" s="3"/>
      <c r="J145" s="2" t="n">
        <f aca="false">G145/H145</f>
        <v>4</v>
      </c>
      <c r="K145" s="2" t="s">
        <v>780</v>
      </c>
      <c r="L145" s="2" t="s">
        <v>781</v>
      </c>
      <c r="M145" s="2" t="s">
        <v>715</v>
      </c>
      <c r="N145" s="2" t="s">
        <v>651</v>
      </c>
      <c r="O145" s="2" t="s">
        <v>652</v>
      </c>
    </row>
  </sheetData>
  <autoFilter ref="A1:O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5" hidden="false" customHeight="false" outlineLevel="0" collapsed="false">
      <c r="A1" s="4" t="s">
        <v>1</v>
      </c>
      <c r="B1" s="4" t="s">
        <v>782</v>
      </c>
      <c r="C1" s="4" t="s">
        <v>783</v>
      </c>
      <c r="D1" s="4" t="s">
        <v>784</v>
      </c>
      <c r="E1" s="4" t="s">
        <v>785</v>
      </c>
    </row>
    <row r="2" customFormat="false" ht="15" hidden="false" customHeight="false" outlineLevel="0" collapsed="false">
      <c r="A2" s="5" t="s">
        <v>16</v>
      </c>
      <c r="B2" s="5" t="n">
        <f aca="false">COUNTIFS(Problemas!$B:$B,$A2,Problemas!$C:$C,1)</f>
        <v>12</v>
      </c>
      <c r="C2" s="5" t="n">
        <f aca="false">COUNTIFS(Problemas!$B:$B,$A2,Problemas!$C:$C,2)</f>
        <v>12</v>
      </c>
      <c r="D2" s="5" t="n">
        <f aca="false">COUNTIFS(Problemas!$B:$B,$A2,Problemas!$C:$C,3)</f>
        <v>12</v>
      </c>
      <c r="E2" s="5" t="n">
        <f aca="false">SUM(B2:D2)</f>
        <v>36</v>
      </c>
    </row>
    <row r="3" customFormat="false" ht="15" hidden="false" customHeight="false" outlineLevel="0" collapsed="false">
      <c r="A3" s="5" t="s">
        <v>200</v>
      </c>
      <c r="B3" s="5" t="n">
        <f aca="false">COUNTIFS(Problemas!$B:$B,$A3,Problemas!$C:$C,1)</f>
        <v>12</v>
      </c>
      <c r="C3" s="5" t="n">
        <f aca="false">COUNTIFS(Problemas!$B:$B,$A3,Problemas!$C:$C,2)</f>
        <v>12</v>
      </c>
      <c r="D3" s="5" t="n">
        <f aca="false">COUNTIFS(Problemas!$B:$B,$A3,Problemas!$C:$C,3)</f>
        <v>12</v>
      </c>
      <c r="E3" s="5" t="n">
        <f aca="false">SUM(B3:D3)</f>
        <v>36</v>
      </c>
    </row>
    <row r="4" customFormat="false" ht="15" hidden="false" customHeight="false" outlineLevel="0" collapsed="false">
      <c r="A4" s="5" t="s">
        <v>409</v>
      </c>
      <c r="B4" s="5" t="n">
        <f aca="false">COUNTIFS(Problemas!$B:$B,$A4,Problemas!$C:$C,1)</f>
        <v>12</v>
      </c>
      <c r="C4" s="5" t="n">
        <f aca="false">COUNTIFS(Problemas!$B:$B,$A4,Problemas!$C:$C,2)</f>
        <v>12</v>
      </c>
      <c r="D4" s="5" t="n">
        <f aca="false">COUNTIFS(Problemas!$B:$B,$A4,Problemas!$C:$C,3)</f>
        <v>12</v>
      </c>
      <c r="E4" s="5" t="n">
        <f aca="false">SUM(B4:D4)</f>
        <v>36</v>
      </c>
    </row>
    <row r="5" customFormat="false" ht="15" hidden="false" customHeight="false" outlineLevel="0" collapsed="false">
      <c r="A5" s="5" t="s">
        <v>591</v>
      </c>
      <c r="B5" s="5" t="n">
        <f aca="false">COUNTIFS(Problemas!$B:$B,$A5,Problemas!$C:$C,1)</f>
        <v>12</v>
      </c>
      <c r="C5" s="5" t="n">
        <f aca="false">COUNTIFS(Problemas!$B:$B,$A5,Problemas!$C:$C,2)</f>
        <v>12</v>
      </c>
      <c r="D5" s="5" t="n">
        <f aca="false">COUNTIFS(Problemas!$B:$B,$A5,Problemas!$C:$C,3)</f>
        <v>12</v>
      </c>
      <c r="E5" s="5" t="n">
        <f aca="false">SUM(B5:D5)</f>
        <v>36</v>
      </c>
    </row>
    <row r="6" customFormat="false" ht="15" hidden="false" customHeight="false" outlineLevel="0" collapsed="false">
      <c r="A6" s="6" t="s">
        <v>785</v>
      </c>
      <c r="B6" s="6" t="n">
        <f aca="false">SUM(B2:B5)</f>
        <v>48</v>
      </c>
      <c r="C6" s="6" t="n">
        <f aca="false">SUM(C2:C5)</f>
        <v>48</v>
      </c>
      <c r="D6" s="6" t="n">
        <f aca="false">SUM(D2:D5)</f>
        <v>48</v>
      </c>
      <c r="E6" s="6" t="n">
        <f aca="false">SUM(E2:E5)</f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7" t="s">
        <v>786</v>
      </c>
    </row>
    <row r="2" customFormat="false" ht="15" hidden="false" customHeight="false" outlineLevel="0" collapsed="false">
      <c r="A2" s="5" t="s">
        <v>787</v>
      </c>
    </row>
    <row r="3" customFormat="false" ht="15" hidden="false" customHeight="false" outlineLevel="0" collapsed="false">
      <c r="A3" s="5" t="s">
        <v>788</v>
      </c>
    </row>
    <row r="4" customFormat="false" ht="15" hidden="false" customHeight="false" outlineLevel="0" collapsed="false">
      <c r="A4" s="5" t="s">
        <v>789</v>
      </c>
    </row>
    <row r="5" customFormat="false" ht="15" hidden="false" customHeight="false" outlineLevel="0" collapsed="false">
      <c r="A5" s="5" t="s">
        <v>790</v>
      </c>
    </row>
    <row r="6" customFormat="false" ht="15" hidden="false" customHeight="false" outlineLevel="0" collapsed="false">
      <c r="A6" s="5" t="s"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2026-10-16T06:13:31Z</dcterms:created>
  <dc:creator>openpyxl</dc:creator>
  <dc:description/>
  <dc:language>en-US</dc:language>
  <cp:lastModifiedBy/>
  <dcterms:modified xsi:type="dcterms:W3CDTF">2026-10-16T06:13:31Z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